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anco de dados " sheetId="1" state="visible" r:id="rId1"/>
    <sheet name="Avaliação" sheetId="2" state="visible" r:id="rId2"/>
    <sheet name="Rereferncias" sheetId="3" state="hidden" r:id="rId3"/>
  </sheets>
  <definedNames>
    <definedName name="_xlnm.Print_Area" localSheetId="1">Avaliação!$A$1:$G$24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<sst xmlns="http://schemas.openxmlformats.org/spreadsheetml/2006/main" count="1156" uniqueCount="1156">
  <si>
    <t xml:space="preserve">Nome Comercial</t>
  </si>
  <si>
    <t>Fármaco</t>
  </si>
  <si>
    <t>Classificação</t>
  </si>
  <si>
    <t>Sintomatologia</t>
  </si>
  <si>
    <t xml:space="preserve">Alterações laboratoriais</t>
  </si>
  <si>
    <t xml:space="preserve">Ação com os médicos</t>
  </si>
  <si>
    <t>Observação</t>
  </si>
  <si>
    <t xml:space="preserve">Ação com a Nutrição</t>
  </si>
  <si>
    <t xml:space="preserve">ação com a enfermagem </t>
  </si>
  <si>
    <t xml:space="preserve">Fluimucil 10% ampola 3ml                      </t>
  </si>
  <si>
    <t>Acetilcisteína</t>
  </si>
  <si>
    <t>Mucolítico</t>
  </si>
  <si>
    <t>N/A</t>
  </si>
  <si>
    <t xml:space="preserve">Fluimucil D 600mg granulado</t>
  </si>
  <si>
    <t xml:space="preserve">Diamox 250mg comprimido</t>
  </si>
  <si>
    <t>Acetazolamida</t>
  </si>
  <si>
    <t xml:space="preserve">Diurético e antiglaucoma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</si>
  <si>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anorexia, gosto metálico, diarreía, naúseas, vomoitos, obstipação, boca seca, sonolencia, confusão, fadiga, parestesia                              </t>
    </r>
    <r>
      <rPr>
        <b/>
        <sz val="11"/>
        <color theme="0" tint="-0.499984740745262"/>
        <rFont val="Century Gothic"/>
      </rPr>
      <t>Preucação:</t>
    </r>
    <r>
      <rPr>
        <sz val="11"/>
        <color theme="0" tint="-0.499984740745262"/>
        <rFont val="Century Gothic"/>
      </rPr>
      <t xml:space="preserve"> Lactação,deficiencia de G6PD (risco de anemia hemolítica), insuficiencia renal grave ou doença hepática,</t>
    </r>
  </si>
  <si>
    <r>
      <t xml:space="preserve">↓ Na, ↓K, ↑Cl, ↑ácido úrico, ↑glicose (em diabetes),anemias incluindo aplástica fatal rara,discrasias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↑pH, ↑Na, ↑K, ↓ácido úrico,↑ glicose (em diabetes), ↑tiamina, ↑piridoxina  </t>
    </r>
  </si>
  <si>
    <t xml:space="preserve">Monitorar hemograma e plaquetas, eletrólitos, hiperglicemia em diabetes</t>
  </si>
  <si>
    <r>
      <rPr>
        <b/>
        <sz val="11"/>
        <color theme="0" tint="-0.499984740745262"/>
        <rFont val="Century Gothic"/>
      </rPr>
      <t xml:space="preserve">Com alimentos:</t>
    </r>
    <r>
      <rPr>
        <sz val="11"/>
        <color theme="0" tint="-0.499984740745262"/>
        <rFont val="Century Gothic"/>
      </rPr>
      <t xml:space="preserve"> Melhora a absorção</t>
    </r>
  </si>
  <si>
    <t xml:space="preserve">Assegurar a ingestão hídrica/hidratação adequada</t>
  </si>
  <si>
    <t xml:space="preserve">Administrar junto com as refeições</t>
  </si>
  <si>
    <t xml:space="preserve">AAS 100 mg infantil</t>
  </si>
  <si>
    <t xml:space="preserve">Acido Acetilsalicílico</t>
  </si>
  <si>
    <t xml:space="preserve">Analgésico, anti-inflamatório, antiagregante:</t>
  </si>
  <si>
    <r>
      <rPr>
        <b/>
        <sz val="11"/>
        <color theme="0" tint="-0.499984740745262"/>
        <rFont val="Century Gothic"/>
      </rPr>
      <t xml:space="preserve">Pode causa</t>
    </r>
    <r>
      <rPr>
        <sz val="11"/>
        <color theme="0" tint="-0.499984740745262"/>
        <rFont val="Century Gothic"/>
      </rPr>
      <t xml:space="preserve">r: Anorexia, sangramento gástrico ou oral , naúseas, vômito, dispepsia.                                                      </t>
    </r>
    <r>
      <rPr>
        <b/>
        <sz val="11"/>
        <color theme="0" tint="-0.499984740745262"/>
        <rFont val="Century Gothic"/>
      </rPr>
      <t>Evitar:</t>
    </r>
    <r>
      <rPr>
        <sz val="11"/>
        <color theme="0" tint="-0.499984740745262"/>
        <rFont val="Century Gothic"/>
      </rPr>
      <t xml:space="preserve"> Alcool                              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Lactação, Diabetes, não usar em pacientes propensos a deficiência de vitamina K, sangramentos ou gastrite/úlceras                                      </t>
    </r>
    <r>
      <rPr>
        <b/>
        <sz val="11"/>
        <color theme="0" tint="-0.499984740745262"/>
        <rFont val="Century Gothic"/>
      </rPr>
      <t xml:space="preserve">Não usar:</t>
    </r>
    <r>
      <rPr>
        <sz val="11"/>
        <color theme="0" tint="-0.499984740745262"/>
        <rFont val="Century Gothic"/>
      </rPr>
      <t xml:space="preserve"> alergia à tartrazina, anemia grave severa, diminuição da função renal e hepática.</t>
    </r>
  </si>
  <si>
    <r>
      <t xml:space="preserve">↓T4, ↓ ou ↑ácido úrico (dose dependente), ↓K, ↑TGO, ↑TGP, ↑fosf alc,  ↓Fe, ↑uréia, ↑ creat                      </t>
    </r>
    <r>
      <rPr>
        <b/>
        <sz val="11"/>
        <color theme="0" tint="-0.499984740745262"/>
        <rFont val="Century Gothic"/>
      </rPr>
      <t xml:space="preserve">Urina: </t>
    </r>
    <r>
      <rPr>
        <sz val="11"/>
        <color theme="0" tint="-0.499984740745262"/>
        <rFont val="Century Gothic"/>
      </rPr>
      <t xml:space="preserve">↑vit C, ↑ K ou ↓ glicose (método dependente)</t>
    </r>
  </si>
  <si>
    <t xml:space="preserve">Monitorar Hematocrito e função renal com uso a longo prazo ou em altas doses</t>
  </si>
  <si>
    <r>
      <rPr>
        <b/>
        <sz val="11"/>
        <color theme="0" tint="-0.499984740745262"/>
        <rFont val="Century Gothic"/>
      </rPr>
      <t xml:space="preserve">Com alimentos ácidos</t>
    </r>
    <r>
      <rPr>
        <sz val="11"/>
        <color theme="0" tint="-0.499984740745262"/>
        <rFont val="Century Gothic"/>
      </rPr>
      <t xml:space="preserve"> = Aumento da absorção                                               </t>
    </r>
    <r>
      <rPr>
        <b/>
        <sz val="11"/>
        <color theme="0" tint="-0.499984740745262"/>
        <rFont val="Century Gothic"/>
      </rPr>
      <t xml:space="preserve">Com alimentos alcalinos </t>
    </r>
    <r>
      <rPr>
        <sz val="11"/>
        <color theme="0" tint="-0.499984740745262"/>
        <rFont val="Century Gothic"/>
      </rPr>
      <t xml:space="preserve">= Diminuição da absorção</t>
    </r>
  </si>
  <si>
    <t xml:space="preserve">Equilibrio na ingestão de alimentos capazes de acidificar ou alcalinizar a urina Assegurar ingestão hídrica adequada</t>
  </si>
  <si>
    <t xml:space="preserve">Administrar com 1 copo de água ou leite após as refeições ou com alimento </t>
  </si>
  <si>
    <t xml:space="preserve">Vitamina C 500mg comprimido                                   </t>
  </si>
  <si>
    <t xml:space="preserve">Acido Ascórbico</t>
  </si>
  <si>
    <t>Vitamina</t>
  </si>
  <si>
    <r>
      <rPr>
        <b/>
        <sz val="11"/>
        <color theme="0" tint="-0.499984740745262"/>
        <rFont val="Century Gothic"/>
      </rPr>
      <t xml:space="preserve">Pode causa</t>
    </r>
    <r>
      <rPr>
        <sz val="11"/>
        <color theme="0" tint="-0.499984740745262"/>
        <rFont val="Century Gothic"/>
      </rPr>
      <t xml:space="preserve">r: Naúseas, vômito, dispepsia, cólicas gástricas, diarreia c/&gt;1g/dia                                                                                                                    </t>
    </r>
    <r>
      <rPr>
        <b/>
        <sz val="11"/>
        <color theme="0" tint="-0.499984740745262"/>
        <rFont val="Century Gothic"/>
      </rPr>
      <t/>
    </r>
  </si>
  <si>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↑oxalato, ↑Ca, ↓ Na, ↑ou ↓ác úrico</t>
    </r>
  </si>
  <si>
    <t xml:space="preserve">Clavulin cp 500mg                      </t>
  </si>
  <si>
    <t xml:space="preserve">Acido clavulanico + Amoxilina</t>
  </si>
  <si>
    <t>Antibiótico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</si>
  <si>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Diarreia, naúseas, vomitos, glossite, candidíase oral, colite pseudomembranosa, erupções cutaneas, raras reações alergicas (pode ser fatal).                              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>Lactação</t>
    </r>
  </si>
  <si>
    <t xml:space="preserve">Anemias, discrasias,  ↑TGO, ↑TGP</t>
  </si>
  <si>
    <t xml:space="preserve">Monitorar função renal, função hépatica e hemograma no uso a longo prazo</t>
  </si>
  <si>
    <r>
      <rPr>
        <b/>
        <sz val="11"/>
        <color theme="0" tint="-0.499984740745262"/>
        <rFont val="Century Gothic"/>
      </rPr>
      <t xml:space="preserve">Com alimento </t>
    </r>
    <r>
      <rPr>
        <sz val="11"/>
        <color theme="0" tint="-0.499984740745262"/>
        <rFont val="Century Gothic"/>
      </rPr>
      <t xml:space="preserve">= Diminui ação do farmaco na mucosa</t>
    </r>
  </si>
  <si>
    <t xml:space="preserve"> Clavulin ampola 500mg</t>
  </si>
  <si>
    <t xml:space="preserve">Endofolin 5mg comprimido</t>
  </si>
  <si>
    <t xml:space="preserve">Ácido Fólico</t>
  </si>
  <si>
    <r>
      <rPr>
        <b/>
        <sz val="11"/>
        <color theme="0" tint="-0.499984740745262"/>
        <rFont val="Century Gothic"/>
      </rPr>
      <t xml:space="preserve">Condições especiais</t>
    </r>
    <r>
      <rPr>
        <sz val="11"/>
        <color theme="0" tint="-0.499984740745262"/>
        <rFont val="Century Gothic"/>
      </rPr>
      <t xml:space="preserve">: Não usar com anemia perniciosa não tratada</t>
    </r>
  </si>
  <si>
    <t xml:space="preserve">↓ vit B12, c/altas doses a longo prazo, ↓ homocisteína, ↑erit, ↑leuc, ↑plaquetas, ↑Hb, ↑Hct, ↓HGM, ↓ VGM quando usado para tratar anemia </t>
  </si>
  <si>
    <t xml:space="preserve">Monitorar Hemograma, Vitamina B12 c/altas doses a longo prazo</t>
  </si>
  <si>
    <r>
      <rPr>
        <b/>
        <sz val="11"/>
        <color theme="0" tint="-0.499984740745262"/>
        <rFont val="Century Gothic"/>
      </rPr>
      <t xml:space="preserve">Com alimentos ricos em Zn</t>
    </r>
    <r>
      <rPr>
        <sz val="11"/>
        <color theme="0" tint="-0.499984740745262"/>
        <rFont val="Century Gothic"/>
      </rPr>
      <t xml:space="preserve"> = Diminui a absorção</t>
    </r>
  </si>
  <si>
    <t xml:space="preserve">Dieta balanceada  Tomar suplemento de Zn separadamente por 2 horas</t>
  </si>
  <si>
    <t xml:space="preserve">Transamin ampola 5ml</t>
  </si>
  <si>
    <t xml:space="preserve">Ácido Tranexâmico </t>
  </si>
  <si>
    <t xml:space="preserve">Hemostático </t>
  </si>
  <si>
    <t xml:space="preserve">Depakene 500mg comprimido</t>
  </si>
  <si>
    <t xml:space="preserve">Ácido Valproico</t>
  </si>
  <si>
    <t>Anticonvulsivante</t>
  </si>
  <si>
    <t xml:space="preserve">Adenocard  3mg/ml ampola 2ml</t>
  </si>
  <si>
    <t xml:space="preserve">Adenosina </t>
  </si>
  <si>
    <t>Antiarrítmico</t>
  </si>
  <si>
    <t xml:space="preserve">alimentos que possuem cafeina e teofilina, pois pode reduzir a resposta cardiovascular.</t>
  </si>
  <si>
    <t xml:space="preserve">Evitar alientos como café e a base de chocolate.</t>
  </si>
  <si>
    <t xml:space="preserve">Albumina Humana 20%</t>
  </si>
  <si>
    <t xml:space="preserve">Albumina Humana</t>
  </si>
  <si>
    <t xml:space="preserve">Expansor de volume sanguíneo</t>
  </si>
  <si>
    <t xml:space="preserve">Tamarine gel</t>
  </si>
  <si>
    <t xml:space="preserve">Sativum + alcaçuz</t>
  </si>
  <si>
    <t>Laxante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</si>
  <si>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Mauseas, vômitos, cólicas diarreia, dependencia laxativa e perda da função intestinal a longo prazo.                    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>Gestação</t>
    </r>
  </si>
  <si>
    <r>
      <t xml:space="preserve">Longo prazo e em excesso: ↑glicose, ↓K, ↓Ca 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descolorida</t>
    </r>
  </si>
  <si>
    <t xml:space="preserve">Desequilibrio eletrolitico c/uso excessivo ( &gt;10 dias)</t>
  </si>
  <si>
    <t xml:space="preserve">Dieta rica em fibra e ingestão hidrica de 1,5 - 2 l/ao dia</t>
  </si>
  <si>
    <t xml:space="preserve">Tomar ao deitar c/1 copo de água ou suco</t>
  </si>
  <si>
    <t>Rapifen</t>
  </si>
  <si>
    <t>Alfentanila</t>
  </si>
  <si>
    <t>Anestésico</t>
  </si>
  <si>
    <t xml:space="preserve">Zyloric 100 mg comprimido</t>
  </si>
  <si>
    <t>Alouporinol</t>
  </si>
  <si>
    <t>Antigotoso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</si>
  <si>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Naúseas, vomito, gastrite, dor abdominal, diarreia, sonolencia, cefaleia, erupções cutaneas                  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 xml:space="preserve">Lactação, alccol,baixa função hepática ou renal</t>
    </r>
  </si>
  <si>
    <r>
      <t xml:space="preserve">↓ ácido úrico        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↓ácido úrico</t>
    </r>
  </si>
  <si>
    <t xml:space="preserve">Hemograma,ácido úrico, função renal e hepática</t>
  </si>
  <si>
    <r>
      <rPr>
        <b/>
        <sz val="11"/>
        <color theme="0" tint="-0.499984740745262"/>
        <rFont val="Century Gothic"/>
      </rPr>
      <t xml:space="preserve">Com alimentos hipoproteícos: </t>
    </r>
    <r>
      <rPr>
        <sz val="11"/>
        <color theme="0" tint="-0.499984740745262"/>
        <rFont val="Century Gothic"/>
      </rPr>
      <t xml:space="preserve">Aumento a absorção do fármaco           </t>
    </r>
    <r>
      <rPr>
        <b/>
        <sz val="11"/>
        <color theme="0" tint="-0.499984740745262"/>
        <rFont val="Century Gothic"/>
      </rPr>
      <t xml:space="preserve">Com alimentos ácidos/alcalinos</t>
    </r>
    <r>
      <rPr>
        <sz val="11"/>
        <color theme="0" tint="-0.499984740745262"/>
        <rFont val="Century Gothic"/>
      </rPr>
      <t xml:space="preserve">: Evitar formação de cálculos de xantinas                                                                </t>
    </r>
    <r>
      <rPr>
        <b/>
        <sz val="11"/>
        <color theme="0" tint="-0.499984740745262"/>
        <rFont val="Century Gothic"/>
      </rPr>
      <t xml:space="preserve">Com alimentos</t>
    </r>
    <r>
      <rPr>
        <sz val="11"/>
        <color theme="0" tint="-0.499984740745262"/>
        <rFont val="Century Gothic"/>
      </rPr>
      <t xml:space="preserve"> = Em casos de desconforto gástrico</t>
    </r>
  </si>
  <si>
    <t xml:space="preserve">Evitar dietas muito restritivas de proteínas                      Assegurar ingestão hídrica adequada      Manter urina neutra ou levemente alcalina </t>
  </si>
  <si>
    <t xml:space="preserve">Administrar junto as refeições em caso de desconforto gástrico</t>
  </si>
  <si>
    <t xml:space="preserve">Frontal  0,25mg mg</t>
  </si>
  <si>
    <t>Alprazolam</t>
  </si>
  <si>
    <t xml:space="preserve">Ansiolítico/hipnótico 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</si>
  <si>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Desconforto gástrico,  ↑ apetite, anorexia, ↓peso, boca seca,  ↑  salivação,obstipação, sonolencia, ataxia, fadiga, deficiencia de memória.             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Lactação, alccol, pode causar dependecia a longo prazo, idoso, insuficiencia hepática ou renal grave</t>
    </r>
  </si>
  <si>
    <t xml:space="preserve">↑  TGO, ↑ bil</t>
  </si>
  <si>
    <t xml:space="preserve">Função hepática e hemograma</t>
  </si>
  <si>
    <r>
      <rPr>
        <b/>
        <sz val="11"/>
        <color theme="0" tint="-0.499984740745262"/>
        <rFont val="Century Gothic"/>
      </rPr>
      <t xml:space="preserve">Com alimentos</t>
    </r>
    <r>
      <rPr>
        <sz val="11"/>
        <color theme="0" tint="-0.499984740745262"/>
        <rFont val="Century Gothic"/>
      </rPr>
      <t xml:space="preserve"> =  Diminui desconforto gástrico.                                                         </t>
    </r>
    <r>
      <rPr>
        <b/>
        <sz val="11"/>
        <color theme="0" tint="-0.499984740745262"/>
        <rFont val="Century Gothic"/>
      </rPr>
      <t xml:space="preserve">Com alimentos ricos em cafeína</t>
    </r>
    <r>
      <rPr>
        <sz val="11"/>
        <color theme="0" tint="-0.499984740745262"/>
        <rFont val="Century Gothic"/>
      </rPr>
      <t xml:space="preserve"> = Diminui a absorção</t>
    </r>
  </si>
  <si>
    <t xml:space="preserve">Evitar o consumo de cafeína</t>
  </si>
  <si>
    <t xml:space="preserve">Administrar junto com as refeições para diminuir desconforto gástrico</t>
  </si>
  <si>
    <t xml:space="preserve">Novamin 100mg e 500mg</t>
  </si>
  <si>
    <t xml:space="preserve">Sulfato de Amicacina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</si>
  <si>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 ↑sede,  ↑salivação,naúseas e vomito, otoxitoxicidade, neurotoxicidade, sonolencia, tontura, perda de audição, dormencia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Lactação, ↓ função renal</t>
    </r>
  </si>
  <si>
    <t xml:space="preserve"> ↑ ureia,  ↑ TGO,  ↑TGP,  ↑fosf alc,  ↑bil,  ↑LDL                                  Urina: ptn,  ↓  gravidade especifica</t>
  </si>
  <si>
    <t xml:space="preserve">Função renal e auditiva</t>
  </si>
  <si>
    <t xml:space="preserve">Assegurar ingestão hídrica adequada</t>
  </si>
  <si>
    <t xml:space="preserve">Max 21C por 24 horas</t>
  </si>
  <si>
    <t xml:space="preserve">Aminofilina (100mg comp</t>
  </si>
  <si>
    <t>Aminofilina</t>
  </si>
  <si>
    <t>Broncodilatador</t>
  </si>
  <si>
    <t xml:space="preserve">Aminofilina 0,24mg/ml </t>
  </si>
  <si>
    <t xml:space="preserve">Aminofilina  amp 10ml)</t>
  </si>
  <si>
    <t xml:space="preserve">Ancoron 150mg/3ml  </t>
  </si>
  <si>
    <t>Amiodarona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</si>
  <si>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Anorexia, boca seca, ↑Ca sérico c/suplementação de cálcio, naúseas, vomitos, dispepsia,diarréia,dor GI, ↓PA (c/possível hipotensão), tontura, cefaleia, erupções cutaneas, fraqueza, fadiga e tosse                           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 xml:space="preserve">Alcool, lactação, e K sérico &gt;5,5 mg/dl</t>
    </r>
  </si>
  <si>
    <r>
      <t xml:space="preserve">Anemia, ↓ Na, ↓Cl,  ↑ ácido úrico, ↓ou ↑K, ↑Ca,↓ P, ↓ou ↑Mg, ↑ Col, ↑Tg, ↑glicose                                   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↑Na, ↑ Cl, ↑ácido úrico, ↑Mg, ↓ou ↑K</t>
    </r>
  </si>
  <si>
    <t xml:space="preserve">Monitorar eletrolitos, ureia. Possivel hipperglicemia em diabéticos </t>
  </si>
  <si>
    <r>
      <rPr>
        <b/>
        <sz val="11"/>
        <color theme="0" tint="-0.499984740745262"/>
        <rFont val="Century Gothic"/>
      </rPr>
      <t xml:space="preserve">Com alimento</t>
    </r>
    <r>
      <rPr>
        <sz val="11"/>
        <color theme="0" tint="-0.499984740745262"/>
        <rFont val="Century Gothic"/>
      </rPr>
      <t xml:space="preserve"> = Diminuição contato do farmaco com a mucosa.                                        </t>
    </r>
    <r>
      <rPr>
        <b/>
        <sz val="11"/>
        <color theme="0" tint="-0.499984740745262"/>
        <rFont val="Century Gothic"/>
      </rPr>
      <t xml:space="preserve">Com cálcio</t>
    </r>
    <r>
      <rPr>
        <sz val="11"/>
        <color theme="0" tint="-0.499984740745262"/>
        <rFont val="Century Gothic"/>
      </rPr>
      <t xml:space="preserve"> = Diminui a absorção do fármaco                        </t>
    </r>
  </si>
  <si>
    <t xml:space="preserve">↓  Na , ↓  cal. Precaução na suplementação de cálcio</t>
  </si>
  <si>
    <t xml:space="preserve">Ancoron 200mg comprimido</t>
  </si>
  <si>
    <t xml:space="preserve">Tryptanol 25mg</t>
  </si>
  <si>
    <t>Amitriptilina</t>
  </si>
  <si>
    <t xml:space="preserve">Antidepressivo/antiarrítmico 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</si>
  <si>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boca seca, obstipação, alterações de paladar, naúseas, vomitos,diareeia, flatulencia, sedação, sonolência, distúrbios visuais, delírio, tontura, tremor, cefaleia, fraqueza, confusão mental, hipotensão, aritmia, palpitações, galactorréia, edema, erupções cutaneas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Lactação, alcool, ↑ problemas dentários</t>
    </r>
  </si>
  <si>
    <r>
      <t xml:space="preserve">Discrasias, ↓ou↑ glicose, ↑prolactina.      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Retenção </t>
    </r>
  </si>
  <si>
    <r>
      <rPr>
        <b/>
        <sz val="11"/>
        <color theme="0" tint="-0.499984740745262"/>
        <rFont val="Century Gothic"/>
      </rPr>
      <t xml:space="preserve">Com alimento</t>
    </r>
    <r>
      <rPr>
        <sz val="11"/>
        <color theme="0" tint="-0.499984740745262"/>
        <rFont val="Century Gothic"/>
      </rPr>
      <t xml:space="preserve">  = Diminui a ação do fármaco na mucosa.                                      </t>
    </r>
    <r>
      <rPr>
        <b/>
        <sz val="11"/>
        <color theme="0" tint="-0.499984740745262"/>
        <rFont val="Century Gothic"/>
      </rPr>
      <t xml:space="preserve">Com alimentos ricos em fibras</t>
    </r>
    <r>
      <rPr>
        <sz val="11"/>
        <color theme="0" tint="-0.499984740745262"/>
        <rFont val="Century Gothic"/>
      </rPr>
      <t xml:space="preserve"> = diminui efeito do farmaco                                        </t>
    </r>
    <r>
      <rPr>
        <b/>
        <sz val="11"/>
        <color theme="0" tint="-0.499984740745262"/>
        <rFont val="Century Gothic"/>
      </rPr>
      <t xml:space="preserve">Com cafeina</t>
    </r>
    <r>
      <rPr>
        <sz val="11"/>
        <color theme="0" tint="-0.499984740745262"/>
        <rFont val="Century Gothic"/>
      </rPr>
      <t xml:space="preserve"> = Diminui a ação do fármaco</t>
    </r>
  </si>
  <si>
    <t xml:space="preserve">Dieta isenta de cafeína  ↑ peso, ↑apetite especialmente para doces, ↑necessidade de ribiflavina</t>
  </si>
  <si>
    <t xml:space="preserve">Administrar junto com as refeições de baixo teor de fibras</t>
  </si>
  <si>
    <t xml:space="preserve">Norvasc 5mg</t>
  </si>
  <si>
    <t>Anlodipino</t>
  </si>
  <si>
    <t>Anti-hipertensivo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</si>
  <si>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Disfagia, naúseas e cólicas,  ↓PA c/possivel hipotensão, edema, tonturas, sonolência, palpitações, dor muscular, erupções cutâneas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Lactação (não usar),  ↓ função renal </t>
    </r>
  </si>
  <si>
    <t xml:space="preserve">Monitorar PA</t>
  </si>
  <si>
    <t xml:space="preserve">Tomar sem considerar a alimentação </t>
  </si>
  <si>
    <t xml:space="preserve">Amoxil 500mg</t>
  </si>
  <si>
    <t>Amoxilina</t>
  </si>
  <si>
    <t xml:space="preserve">Amplacilina 1g injetável</t>
  </si>
  <si>
    <t>Ampicilina</t>
  </si>
  <si>
    <t xml:space="preserve">Penicilina G Cristalina Pot. 50000</t>
  </si>
  <si>
    <t xml:space="preserve">Penicilina Cristalina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</si>
  <si>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Anorexia, candidiase, lingua escura, flatulencia, boca seca, alterações no paladar.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↓função renal. Considerar conteúdo de K ou Na c/↓função renal</t>
    </r>
  </si>
  <si>
    <t xml:space="preserve">Discrasias, ↑K (especialmentec/pen-GK), ↑Na. Urina: +p/glicose</t>
  </si>
  <si>
    <t xml:space="preserve">Monitorar em uso prolongado ou em altas doses: hemograma, função renal, eletrolitos, K ou Na especialmente c/pen G.</t>
  </si>
  <si>
    <t xml:space="preserve">Precaução c/suplementode K</t>
  </si>
  <si>
    <t xml:space="preserve">Tomar antes ou 2 horas após alimentação p/↑abs. Pode tomar c/alimento se ocorrer desconforto GI.</t>
  </si>
  <si>
    <t xml:space="preserve">Ambisome 50 mg frasco</t>
  </si>
  <si>
    <t xml:space="preserve">Anfotericina B lipossomal</t>
  </si>
  <si>
    <t>Antifúngico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</si>
  <si>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Nauseas, vomitos, dor gástrica, dispesia, hemorragia GI, diarreia, febre, nefrotoxidade, dor no peito, dor nas costas.                         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 xml:space="preserve">Lactação (não usar) , gestação,↓função renal</t>
    </r>
  </si>
  <si>
    <t xml:space="preserve">Anemias, ↑ureia, ↑creatinina, ↑glicose, ↓K, ↓Mg, ↑Na, ↓Ca, ↑fosfatase alcalina, ↑bil, ↑Bil, ↑TGO, ↑TGP, ↑GGT   Urina: ↑K, ↑ác úrico, ptn, hematúria</t>
  </si>
  <si>
    <t xml:space="preserve">Monitorar: eletrolitros, Mg, função renal e hepática, hemograma e plaquetas </t>
  </si>
  <si>
    <t xml:space="preserve">Incompativel com parenteral </t>
  </si>
  <si>
    <t xml:space="preserve">Parar a dieta uma horas antes e lavar o acesso com água destilada.</t>
  </si>
  <si>
    <t xml:space="preserve">Ecalta 100 mg</t>
  </si>
  <si>
    <t xml:space="preserve">Anidulafungina </t>
  </si>
  <si>
    <t xml:space="preserve">Atenol 50mg comprimido</t>
  </si>
  <si>
    <t xml:space="preserve">Atenolol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</si>
  <si>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diarreia, ↓Pa c/hipotensão, tontura, sonolência, fadiga, depressão                   </t>
    </r>
    <r>
      <rPr>
        <b/>
        <sz val="11"/>
        <color theme="0" tint="-0.499984740745262"/>
        <rFont val="Century Gothic"/>
      </rPr>
      <t xml:space="preserve"> Precaução</t>
    </r>
    <r>
      <rPr>
        <sz val="11"/>
        <color theme="0" tint="-0.499984740745262"/>
        <rFont val="Century Gothic"/>
      </rPr>
      <t xml:space="preserve">: Lactação, diabetes pode mascarar sinais de hipoglicemia (pode inibir liberação da insulina na hiperglicemia, ↓função renal</t>
    </r>
  </si>
  <si>
    <t xml:space="preserve">↑Tg,↓Hdl,↑lipoproteínas,↑K,↑ácido úrico, ↑ureia</t>
  </si>
  <si>
    <t xml:space="preserve">Monitorar: PA, função cardíaca, glicemia em diabetes. Possivelmente função renal e hemograma</t>
  </si>
  <si>
    <t xml:space="preserve">Sais Ca podem ↓abs</t>
  </si>
  <si>
    <t xml:space="preserve">↓Na,↓cal pode ser recomendada. Tomar 2 hora antes ou 6 horas após suplementos de Ca ou antiácidos</t>
  </si>
  <si>
    <t xml:space="preserve">Tomar s/considerar a alimentação</t>
  </si>
  <si>
    <t xml:space="preserve">Lipitor 10mg comprimido</t>
  </si>
  <si>
    <t>Atorvastatina</t>
  </si>
  <si>
    <t>Hiperlipidêmico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</si>
  <si>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dispepsia, dor abdominal, obstipação, flatulencia, edema, tontura, dor no peito, insonia, bronquite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excesso de alcool. Não usar lactação, doença hepatica ativa ou ↑TGO, ↑TGP</t>
    </r>
  </si>
  <si>
    <t xml:space="preserve">↓Col, ↓TG, ↓LDL, ↓VLDL, ↑HDL, ↑TGO, ↑TGP, ↑fosf alc, ↓Coenzima Q10</t>
  </si>
  <si>
    <t xml:space="preserve">Monitorar: Função hepática, col, tg, perfil lipidico. Possivelmente Coenzima Q10</t>
  </si>
  <si>
    <t xml:space="preserve">↓ cal. Não usar c/doses altas de niacina: possivel miopatia</t>
  </si>
  <si>
    <t xml:space="preserve">↓ Liquidos, ↓Col, </t>
  </si>
  <si>
    <t xml:space="preserve">Tomar s/considerar a alimentação ou hora do dia </t>
  </si>
  <si>
    <t xml:space="preserve">Atropina 0,5 mg ampola</t>
  </si>
  <si>
    <t xml:space="preserve">Sulfato de atropina</t>
  </si>
  <si>
    <t>Antídoto</t>
  </si>
  <si>
    <t xml:space="preserve">Zitromax ampola</t>
  </si>
  <si>
    <t>Azitromicina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</si>
  <si>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Estomatite, diarreia, dor abdominal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Lactação, ↓função renal ou hepatica</t>
    </r>
  </si>
  <si>
    <t xml:space="preserve">↑ CPK,  ↑TGO,  ↑TGP,  ↑GGT,  ↑K</t>
  </si>
  <si>
    <t xml:space="preserve">Monitorar função hepática com usooral a longo prazo</t>
  </si>
  <si>
    <t xml:space="preserve">Tomar 1h antes ou 2h após as refeições. Tomar junto com as refeições em caso de desconforto GI</t>
  </si>
  <si>
    <t xml:space="preserve">Azul de metileno 4%</t>
  </si>
  <si>
    <t xml:space="preserve">lioresal 10mg comprimido</t>
  </si>
  <si>
    <t>Baclofeno</t>
  </si>
  <si>
    <t xml:space="preserve">Relaxante muscular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</si>
  <si>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Boca seca, nauseas, vomito, alterações de paladar, obstipação, sonolência, tontura, fraqueza, confusão, cefaleia, depressão, insônia, ↓PA, edema                                     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 xml:space="preserve">Alccol, não usar ↓função renal, </t>
    </r>
  </si>
  <si>
    <r>
      <t xml:space="preserve"> ↑fosf alc,  ↑TGO,  ↑TGP,  ↑glicose  </t>
    </r>
    <r>
      <rPr>
        <b/>
        <sz val="11"/>
        <color theme="0" tint="-0.499984740745262"/>
        <rFont val="Century Gothic"/>
      </rPr>
      <t xml:space="preserve">Urina:  </t>
    </r>
    <r>
      <rPr>
        <sz val="11"/>
        <color theme="0" tint="-0.499984740745262"/>
        <rFont val="Century Gothic"/>
      </rPr>
      <t xml:space="preserve">↑frequencia , retenção </t>
    </r>
  </si>
  <si>
    <t xml:space="preserve">Bamifix 600mg</t>
  </si>
  <si>
    <t>Bamifilina</t>
  </si>
  <si>
    <t xml:space="preserve">Benzetacil 600.000 UI Benzetacil1200000 UI</t>
  </si>
  <si>
    <t>Benzilpenicilina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</si>
  <si>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Anorexia,  Precaução:  não usar ↓função renal, lactação</t>
    </r>
  </si>
  <si>
    <r>
      <t xml:space="preserve">Discrasias, ↑K ( especialmente pen GK,  ↑Na (pen G Na)                 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+p/glicose ou falso ↑esteroídes (método-dependente) c/pen G</t>
    </r>
  </si>
  <si>
    <t xml:space="preserve">Em uso a longo prazo ou altas doses: hemograma, função renal, eletrolitos, K ou Na especialmente c/pen G</t>
  </si>
  <si>
    <t xml:space="preserve">Com suplementos de K c/pen - VK</t>
  </si>
  <si>
    <t xml:space="preserve">Tomar 1 hora antes ou 2 horas antes da alimentação, em caso de desconforto tomar junto com o alimento </t>
  </si>
  <si>
    <t xml:space="preserve">Despacilina 400.000 UI</t>
  </si>
  <si>
    <t xml:space="preserve">Benzilpenicilina potássica + Benzilpenicilina procaína</t>
  </si>
  <si>
    <t xml:space="preserve">Celestone Soluspan</t>
  </si>
  <si>
    <t xml:space="preserve">Fosfato de Betametasona</t>
  </si>
  <si>
    <t xml:space="preserve">Anti-inflamatorio Esteroidal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</si>
  <si>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Anorexia, naúseas, vomitos, dispesia, úldera péptica, flatulência, sangramento/perfuração GI, ↑apetite, ↑peso, anorexia, osteporose e necrose a longo prazo, ↑ necessidade de folato, edema, insônia, hematomas, cicatrização lenta  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Alccol, não usar na lactação, diabetes (↑glicemia), hipoalbuminemia (&lt;3g/dl) pode ↑efeitos do fármaco, ↓função renal ou epilepsia</t>
    </r>
  </si>
  <si>
    <t xml:space="preserve">↑Na,  ↓K, ↑Ca, ↑glicose, ↓Zn, ↓ác úrico, ↓vit C, ↓Vit A, ↑Tg, ↑Col, ↓T3, ↓T4, ↓TSH, ↑Hb,  ↑erit, discrasias </t>
  </si>
  <si>
    <r>
      <rPr>
        <b/>
        <sz val="11"/>
        <color theme="0" tint="-0.499984740745262"/>
        <rFont val="Century Gothic"/>
      </rPr>
      <t xml:space="preserve">A longo prazo:</t>
    </r>
    <r>
      <rPr>
        <sz val="11"/>
        <color theme="0" tint="-0.499984740745262"/>
        <rFont val="Century Gothic"/>
      </rPr>
      <t xml:space="preserve"> Eletrolitos, glicemia, PA, peso, crescimento em crianças, densidade óssea c/uso &gt;2 meses, função adrenal</t>
    </r>
  </si>
  <si>
    <t xml:space="preserve">↓Na, ↑Ca, ↑vit D,  ↑ptn. Pode necessitar , ↑ K,  ↑vit Ae C,  ↑P(ou suplementação). Suplementação  de Ca e Vit  D recomendada c/uso a longo prazo.</t>
  </si>
  <si>
    <t xml:space="preserve">Tomar junto com o alimento para diminuir os sintomas</t>
  </si>
  <si>
    <t xml:space="preserve">Bicarbonato de sódio 8,4% 10 ml </t>
  </si>
  <si>
    <t xml:space="preserve">Solução hidroeletrolitica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</si>
  <si>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↑ sede, ↑ peso (edema), distensão gástrica,cólicas, flatulência               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 ↓função renal, ICC, HÁ</t>
    </r>
  </si>
  <si>
    <r>
      <t xml:space="preserve">↑ Na, ↓K, ↓Ca                           </t>
    </r>
    <r>
      <rPr>
        <b/>
        <sz val="11"/>
        <color theme="0" tint="-0.499984740745262"/>
        <rFont val="Century Gothic"/>
      </rPr>
      <t xml:space="preserve">  Urina</t>
    </r>
    <r>
      <rPr>
        <sz val="11"/>
        <color theme="0" tint="-0.499984740745262"/>
        <rFont val="Century Gothic"/>
      </rPr>
      <t xml:space="preserve"> ↑ph</t>
    </r>
  </si>
  <si>
    <t xml:space="preserve">Considerar conteúdo de Na, com dietas ↓Na. Precaução c/suplemento de Ca ou ingestão elevada de leite c/uso a longo prazo  </t>
  </si>
  <si>
    <t xml:space="preserve">Como antiácido: Tomar após as refeições. Tomar suplemento de Fe separadamente 1 hora antes ou 2 horas após a administração do fármaco</t>
  </si>
  <si>
    <t xml:space="preserve">Bicarbonato de sódio 8,4%250 ml)</t>
  </si>
  <si>
    <t xml:space="preserve">Dulcolax  comprimido</t>
  </si>
  <si>
    <t>Bisacodil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</si>
  <si>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naúseas, diarreia, dor abdominal, eructação. Uso a longo prazo: dependencia laxativa, má absorção e esteatorreia                </t>
    </r>
    <r>
      <rPr>
        <b/>
        <sz val="11"/>
        <color theme="0" tint="-0.499984740745262"/>
        <rFont val="Century Gothic"/>
      </rPr>
      <t xml:space="preserve"> Precaução: </t>
    </r>
    <r>
      <rPr>
        <sz val="11"/>
        <color theme="0" tint="-0.499984740745262"/>
        <rFont val="Century Gothic"/>
      </rPr>
      <t xml:space="preserve"> Não usar na lactação </t>
    </r>
  </si>
  <si>
    <t xml:space="preserve">a longo prazo ↓K, ↓Ca       </t>
  </si>
  <si>
    <t xml:space="preserve">Tomar a tarde com o estomago vazio com 1 copo de água ou suco. Engolir inteiro o comprimido, não triturar. Obsevar intervalo de 1 hora entra a ingestão do fármaco e e de leite.</t>
  </si>
  <si>
    <t xml:space="preserve">Lexotan 3mg comprimido</t>
  </si>
  <si>
    <t>Bromazepan</t>
  </si>
  <si>
    <t>Ansiolítico/hipnótico</t>
  </si>
  <si>
    <t xml:space="preserve">Atrovent 0,025% frasco 10ml</t>
  </si>
  <si>
    <t xml:space="preserve">Brometo de Ipratropio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</si>
  <si>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Garganta/boca seca, paladar metalico/amargo, naúseas, dispesia, tosse, cefaleia, dispneia, tontura, disturbios visuais, palpitações, dor nas costas ou peito, palpitações , retenção urinaria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Lactação </t>
    </r>
  </si>
  <si>
    <t xml:space="preserve">Digesan injetável </t>
  </si>
  <si>
    <t>Bromoprida</t>
  </si>
  <si>
    <t>Antiemético/procinético</t>
  </si>
  <si>
    <t xml:space="preserve">Digesan  comprimido 10mg</t>
  </si>
  <si>
    <t xml:space="preserve">Pulmicort 0,25mg/ml</t>
  </si>
  <si>
    <t>Budesonida</t>
  </si>
  <si>
    <t xml:space="preserve">Antiinflamatorio esteroidal</t>
  </si>
  <si>
    <t xml:space="preserve">Oscal D comprimido</t>
  </si>
  <si>
    <t xml:space="preserve">Carbonato de Calcio+ colecalciferol</t>
  </si>
  <si>
    <t xml:space="preserve">Suplemento Mineral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</si>
  <si>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↑ abs de Ca, anorexia, ↓ peso, ↑sede. Sintomas de def: raquitismo, crecimento, palpitações, irritabilidade, boca seca, paladar metalico, nauseas, vomito, obstipação, diarreia.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 xml:space="preserve">Não usar em hiperglicemia ou hiperfostemia, ↓função renal ou cardiaca</t>
    </r>
  </si>
  <si>
    <t xml:space="preserve">↑ Ca, ↑P, ↓fosf alc,↑ Mg, ↑ ureia, ↑creat, ↑TGO, ↑tgp, ↑COL. Hipercalcemia induzida por ergocalciferol persiste mais tempo do que c/o calcitriol. Urina: ↑Ca c/vit D &gt; 60ug, ↑P, ↑alb, poliuria</t>
  </si>
  <si>
    <t xml:space="preserve">Ca, P, função renal</t>
  </si>
  <si>
    <t xml:space="preserve">Pode ser adm diretamente na boca ou misturada c/alimentos moles ou suco</t>
  </si>
  <si>
    <t xml:space="preserve">Atacand 16mg</t>
  </si>
  <si>
    <t>Candesartana</t>
  </si>
  <si>
    <t>anti-hipertensivo</t>
  </si>
  <si>
    <t xml:space="preserve">Alimentos com alto teor de potassio pode interferir na absorção do farmaco.</t>
  </si>
  <si>
    <t xml:space="preserve">Evitar alimentos com essas caracteristicas.</t>
  </si>
  <si>
    <t xml:space="preserve">Capoten 25mg</t>
  </si>
  <si>
    <t>Captopril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</si>
  <si>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anorexia, ↓peso, Fe, Mg, Al: ↓ abs do farmaco, paladar metalico ou salgado, nauseas, vomitos, úlcera peptica, dor abdominal, obstipação, diarreia, ↓ PA, c/possivel hipotensão, tosse                        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Diabetes, ↓glicemia</t>
    </r>
  </si>
  <si>
    <r>
      <t xml:space="preserve"> ↓ leuc ou discrasias, ↑ K,  ↓Na, ↑TGO, ↑TGP, ↑fosf alc, ↑bil, ↑ prolactina, ↑ác úrico, ↓ glicose em DM, transitorio ↑ureia, ↑Creat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ptn, Zn  </t>
    </r>
  </si>
  <si>
    <t xml:space="preserve">PA, eletrolitos, função renal, leucograma, glicemia para DM </t>
  </si>
  <si>
    <r>
      <rPr>
        <b/>
        <sz val="11"/>
        <color theme="0" tint="-0.499984740745262"/>
        <rFont val="Century Gothic"/>
      </rPr>
      <t xml:space="preserve">Com alimento: </t>
    </r>
    <r>
      <rPr>
        <sz val="11"/>
        <color theme="0" tint="-0.499984740745262"/>
        <rFont val="Century Gothic"/>
      </rPr>
      <t xml:space="preserve">Diminui a absorção do fármaco. deve  evitar a ingestão de alimentos ricos em  potássio na dieta.</t>
    </r>
  </si>
  <si>
    <t xml:space="preserve">Assegurar a ingestão hidrica/hidratação adequada, ↓Na, ↓cal pode ser recomendada. Evitar substitutos do sal. Precaução c/ Fe ou Mg/antiácidos separadamente por pelo menos 2h </t>
  </si>
  <si>
    <t xml:space="preserve">Tomar c/ estomago vazio 1 hora  das refeições </t>
  </si>
  <si>
    <t xml:space="preserve">Tegretol 200mg comprimido</t>
  </si>
  <si>
    <t>Carbamazepina</t>
  </si>
  <si>
    <r>
      <t xml:space="preserve">Pode causar: Anorexia,↓folato, ↓vit D, nauseas, vomito, boca seca, estomatite, glossite, dor abdominal, obstipação, diarreia, tontura, edema, disturbios visuais, sonolencia, ataxia, tontura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Alcool , não uxar na lactação, ↑ risco de problemas dentários, ↓função hepatico </t>
    </r>
  </si>
  <si>
    <t xml:space="preserve">↓ leuc, ↓folato, ↓Ca, discrasias, ↓T3, ↓T4, ↓Na, ↓biotina, ↑ureia, ↑TGO, ↑TGP, ↑fosf alc, ↑bile, ↑TG</t>
  </si>
  <si>
    <t xml:space="preserve">Monitora niveis do farmaco, exames oculares, , hemograma, função renal e hepatica, Fe, Ca, Na séricos, urinálise.</t>
  </si>
  <si>
    <r>
      <rPr>
        <b/>
        <sz val="11"/>
        <color theme="0" tint="-0.499984740745262"/>
        <rFont val="Century Gothic"/>
      </rPr>
      <t xml:space="preserve">Com alimento ricos em gordura</t>
    </r>
    <r>
      <rPr>
        <sz val="11"/>
        <color theme="0" tint="-0.499984740745262"/>
        <rFont val="Century Gothic"/>
      </rPr>
      <t xml:space="preserve">= Aumenta a                                                     </t>
    </r>
    <r>
      <rPr>
        <b/>
        <sz val="11"/>
        <color theme="0" tint="-0.499984740745262"/>
        <rFont val="Century Gothic"/>
      </rPr>
      <t xml:space="preserve">Consumo de Toranja</t>
    </r>
    <r>
      <rPr>
        <sz val="11"/>
        <color theme="0" tint="-0.499984740745262"/>
        <rFont val="Century Gothic"/>
      </rPr>
      <t xml:space="preserve"> = Aumenta a absorção</t>
    </r>
  </si>
  <si>
    <t xml:space="preserve">Incentivar o consumo de gordura de forma equilibrada no horário de administração do fármaco                        Dieta isenta de toranja  * Verificar os niveis de sódio no organismo em tratamentos prolongados</t>
  </si>
  <si>
    <t xml:space="preserve">Administrar junto com a refeição ou logo após</t>
  </si>
  <si>
    <t xml:space="preserve">Carvão ativado pó 50 gr</t>
  </si>
  <si>
    <t xml:space="preserve">Cardilol 3,125</t>
  </si>
  <si>
    <t>Carvedilol</t>
  </si>
  <si>
    <t xml:space="preserve">Keflex 500mg  comprimido</t>
  </si>
  <si>
    <t>Cefalexina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</si>
  <si>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Candidiase oral, inflamação da mucosa bucal e língua em uso a longo prazo, dispseia, gastrite, diarreia, colite pseudomembranosa.                     </t>
    </r>
    <r>
      <rPr>
        <b/>
        <sz val="11"/>
        <color theme="0" tint="-0.499984740745262"/>
        <rFont val="Century Gothic"/>
      </rPr>
      <t xml:space="preserve"> Precaução</t>
    </r>
    <r>
      <rPr>
        <sz val="11"/>
        <color theme="0" tint="-0.499984740745262"/>
        <rFont val="Century Gothic"/>
      </rPr>
      <t xml:space="preserve">: Lactação, ↓função renal</t>
    </r>
  </si>
  <si>
    <t xml:space="preserve">↑TGO, ↑TGP, eosinofilia, ↓leuc, ↑ureia, ↑creat, falso para p/Coombs</t>
  </si>
  <si>
    <t xml:space="preserve">Tomar sem considrar a alimentação</t>
  </si>
  <si>
    <t xml:space="preserve">Keflin 1 g frasco</t>
  </si>
  <si>
    <t>Cafalotina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</si>
  <si>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Não usar com alcool c/ cefoperazona (reação semelhante ao dissulfiram).         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Lactação. Uso a longo prazo em desnutridos: ↓sintese de vit K,↓função renal</t>
    </r>
  </si>
  <si>
    <t xml:space="preserve">Discrasias, eosinofilia. Transitorio: ↑TGO, ↑ TGP, ↑fosf alc, ↑GGT, ↑LD, ↑ureia, ↑creat </t>
  </si>
  <si>
    <t xml:space="preserve">Monitorar TP, hemograma completo se usado mais de 10 dias </t>
  </si>
  <si>
    <t xml:space="preserve">Considerar conteúdo de Na, com dietas ↓Na. Pode necessitar de ↑K ou suplemento, especialmente cefopeparozona para prevenir sangramento devido à hipoprotrombinemia</t>
  </si>
  <si>
    <t xml:space="preserve">Compativel c/NP</t>
  </si>
  <si>
    <t xml:space="preserve">Kefazol 1gr frasco</t>
  </si>
  <si>
    <t>Cefazolina</t>
  </si>
  <si>
    <t xml:space="preserve">Maxcef 1g</t>
  </si>
  <si>
    <t>Cefepima</t>
  </si>
  <si>
    <t xml:space="preserve">Fortaz 1gr</t>
  </si>
  <si>
    <t>Ceftazidima</t>
  </si>
  <si>
    <t xml:space="preserve">Rocefin 1gr</t>
  </si>
  <si>
    <t>Ceftriaxona</t>
  </si>
  <si>
    <t xml:space="preserve">Zinacef 750</t>
  </si>
  <si>
    <t>cefuroxima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</si>
  <si>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Paladar amargo, nausea, diarreia, candidiase oral e inflamação da mucosa bucal e lingua a longo prazo. Precaução: não usar na lactação, ↓função renal </t>
    </r>
  </si>
  <si>
    <t xml:space="preserve">↑incidencia c/parenteral, ↓HB, ↓Hct, eosinofilia, ↑TGO, ↑TGP, ↑fosf alc, ↑LDL</t>
  </si>
  <si>
    <r>
      <rPr>
        <b/>
        <sz val="11"/>
        <color theme="0" tint="-0.499984740745262"/>
        <rFont val="Century Gothic"/>
      </rPr>
      <t xml:space="preserve">Com alimento</t>
    </r>
    <r>
      <rPr>
        <sz val="11"/>
        <color theme="0" tint="-0.499984740745262"/>
        <rFont val="Century Gothic"/>
      </rPr>
      <t xml:space="preserve"> = Aumenta a absorção</t>
    </r>
  </si>
  <si>
    <t xml:space="preserve">Administrar junto com a refeição</t>
  </si>
  <si>
    <t xml:space="preserve">ketalar 50mg x2ml</t>
  </si>
  <si>
    <t>Cetamina</t>
  </si>
  <si>
    <t xml:space="preserve">Anestésico venoso não opióide</t>
  </si>
  <si>
    <t xml:space="preserve">Profenid 100mg IV</t>
  </si>
  <si>
    <t>Cetoprofeno</t>
  </si>
  <si>
    <t>Anti-inflamatório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</si>
  <si>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:↓ apetite, nauseas, vomitos, dispesia, dor abdominal, flatulencia, obstipação, diarreia, úlcera e sangramento GI (pode ser agudo e grave), tontura, edema, cefaleia, depressão, irritação       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c/HÁ, ICC ou edema, ↓função renal ou hépatica</t>
    </r>
  </si>
  <si>
    <t xml:space="preserve">↓ agregação  plaquetaria, ↑tempo de sangramento, ↑ TGO, ↑TGP, ↑fosf,  alc, ↓Hv (&gt;20%) c/altas doses a logo prazo, ↓Hct, ↑K, ↑ureia, ↑creat, ↓ glicose  </t>
  </si>
  <si>
    <t xml:space="preserve">Monitorar hemograma, função renal, em uso prolongado</t>
  </si>
  <si>
    <r>
      <rPr>
        <b/>
        <sz val="11"/>
        <color theme="0" tint="-0.499984740745262"/>
        <rFont val="Century Gothic"/>
      </rPr>
      <t xml:space="preserve">Com alimentos </t>
    </r>
    <r>
      <rPr>
        <sz val="11"/>
        <color theme="0" tint="-0.499984740745262"/>
        <rFont val="Century Gothic"/>
      </rPr>
      <t xml:space="preserve">= Atrasa a absorção, porém não influencia na quantidade a ser absorivda, não atrapalhando o tratamento de vários dias                   </t>
    </r>
    <r>
      <rPr>
        <b/>
        <sz val="11"/>
        <color theme="0" tint="-0.499984740745262"/>
        <rFont val="Century Gothic"/>
      </rPr>
      <t xml:space="preserve">Com leite:</t>
    </r>
    <r>
      <rPr>
        <sz val="11"/>
        <color theme="0" tint="-0.499984740745262"/>
        <rFont val="Century Gothic"/>
      </rPr>
      <t xml:space="preserve"> Aumenta a absorçao (aumento do ph gástrico)</t>
    </r>
  </si>
  <si>
    <t xml:space="preserve">Precaução com irritantes</t>
  </si>
  <si>
    <t xml:space="preserve">Ingerir com leite</t>
  </si>
  <si>
    <t xml:space="preserve">Miosan 10mg comprimido</t>
  </si>
  <si>
    <t>Ciclobenzaprina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</si>
  <si>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paladar desagradavel, dispesia, naúseas, obstipação </t>
    </r>
  </si>
  <si>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Retenção</t>
    </r>
  </si>
  <si>
    <t xml:space="preserve">Cebralat 100mg comprimido</t>
  </si>
  <si>
    <t>Cilostazol</t>
  </si>
  <si>
    <t>Vasodilatador</t>
  </si>
  <si>
    <t xml:space="preserve">Cipro 200mg </t>
  </si>
  <si>
    <t>Ciprofloxacino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</si>
  <si>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Paladar ruim, nauseas, vomito, dor abdominal, diarreia Precaução: ↓função renal, eplipsia</t>
    </r>
  </si>
  <si>
    <t xml:space="preserve">↑TGO, ↑TGP, ↑ureia, ↑creat, ↑CPK, ↑Tg, ↑ác úrico</t>
  </si>
  <si>
    <t xml:space="preserve">Monitorar renal e hepática, hemograma </t>
  </si>
  <si>
    <r>
      <rPr>
        <b/>
        <sz val="11"/>
        <color theme="0" tint="-0.499984740745262"/>
        <rFont val="Century Gothic"/>
      </rPr>
      <t xml:space="preserve">Com alimentos ou suplementos contendo cálcio</t>
    </r>
    <r>
      <rPr>
        <sz val="11"/>
        <color theme="0" tint="-0.499984740745262"/>
        <rFont val="Century Gothic"/>
      </rPr>
      <t xml:space="preserve"> = diminuição da absorção do fárrnaco.
</t>
    </r>
    <r>
      <rPr>
        <b/>
        <sz val="11"/>
        <color theme="0" tint="-0.499984740745262"/>
        <rFont val="Century Gothic"/>
      </rPr>
      <t xml:space="preserve">Com nutrição enteral </t>
    </r>
    <r>
      <rPr>
        <sz val="11"/>
        <color theme="0" tint="-0.499984740745262"/>
        <rFont val="Century Gothic"/>
      </rPr>
      <t xml:space="preserve">= diminuição em 30% da absorção do fárrnaco.
</t>
    </r>
    <r>
      <rPr>
        <b/>
        <sz val="11"/>
        <color theme="0" tint="-0.499984740745262"/>
        <rFont val="Century Gothic"/>
      </rPr>
      <t xml:space="preserve">Com cafeína</t>
    </r>
    <r>
      <rPr>
        <sz val="11"/>
        <color theme="0" tint="-0.499984740745262"/>
        <rFont val="Century Gothic"/>
      </rPr>
      <t xml:space="preserve"> = aumento da concentração sérica de cafeína e estimulação do SNC.
</t>
    </r>
  </si>
  <si>
    <t xml:space="preserve">Dieta pobre em laticínios e cafeína. Pacientes com dieta enteral intermitente, a mesma deve ser pausada em 2h antes e depois da administração. Recomenda-se que para pacientes com nutrição enteral contínua seja administrada ciprofloxacino parenteral.</t>
  </si>
  <si>
    <t xml:space="preserve">Administrar com intervalos de no mínimo 2h da ingestão de produtos contendo cálcio e/ou caféina.
</t>
  </si>
  <si>
    <t xml:space="preserve">Cipro  400mg injetável </t>
  </si>
  <si>
    <t xml:space="preserve">Cipro 500mg comprimido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</si>
  <si>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Paladar ruim, nauseas, vomito, dor abdominal, diarreia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↓função renal, eplipsia</t>
    </r>
  </si>
  <si>
    <t xml:space="preserve">Nimbium 10mg ampola 5ml</t>
  </si>
  <si>
    <t>Cisatracuronio</t>
  </si>
  <si>
    <t xml:space="preserve">Bloqueador neuromuscular</t>
  </si>
  <si>
    <t xml:space="preserve">Cipramil 20mg</t>
  </si>
  <si>
    <t>Citalopram</t>
  </si>
  <si>
    <t xml:space="preserve">Antidepressivo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</si>
  <si>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alteração de paladar, ↑ salivação, dispesia, naúseas, vômito, dor abdminal, diarreia, flatulencia.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↓função renal,↓função hepática</t>
    </r>
  </si>
  <si>
    <t xml:space="preserve">Frquencia urinaria </t>
  </si>
  <si>
    <t xml:space="preserve">Evitar erva de são joão</t>
  </si>
  <si>
    <t xml:space="preserve">Pedyalite 45</t>
  </si>
  <si>
    <t xml:space="preserve">Repositor e solução hidroeletrolítica</t>
  </si>
  <si>
    <t xml:space="preserve">Klaricid 500mg comp          </t>
  </si>
  <si>
    <t>Claritromicina</t>
  </si>
  <si>
    <t xml:space="preserve">Antibiótico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</si>
  <si>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Paladar anormal, dispesia, nauseas, vomito, dor abdominal, diarreia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Alcool,↑ efeito  sedativo do alcool, lactação ↓função renal grave</t>
    </r>
  </si>
  <si>
    <t xml:space="preserve">↑ureia, ↑Tp</t>
  </si>
  <si>
    <t xml:space="preserve">Klaricid  500 mg IV</t>
  </si>
  <si>
    <t xml:space="preserve">Rivotril 0,5 mg comprimido </t>
  </si>
  <si>
    <t>Clonazepam</t>
  </si>
  <si>
    <t xml:space="preserve">Ansiolítico 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</si>
  <si>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↑ou↓peso, ↑sede, ↑ salivação, boca seca/inflamada, cólicas abdominais, disfagia, nauiseas, diarreia, obstipação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↓ função renal ou doença respiratoria, não usar com doença hepática grave </t>
    </r>
  </si>
  <si>
    <r>
      <t xml:space="preserve">Discrasias. Transitorio:↑ TGO, ↑ TGP, ↑ fosf alcalina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 retenção, enurese</t>
    </r>
  </si>
  <si>
    <t xml:space="preserve">Monitorar hemograma e função hepática em uso a longo prazo</t>
  </si>
  <si>
    <t xml:space="preserve">Limiar cafeína </t>
  </si>
  <si>
    <t xml:space="preserve">Pode ser tomado com alimento p/ ↓desconforto GI</t>
  </si>
  <si>
    <t xml:space="preserve">Rivotril 2mg comprimido </t>
  </si>
  <si>
    <t xml:space="preserve">Rivotril 2,5mg gota)</t>
  </si>
  <si>
    <t xml:space="preserve">Atensina 0,200mg comprimido </t>
  </si>
  <si>
    <t>Clonidina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</si>
  <si>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boca seca, nauseas, vomito, obstipação, ↓ PA c/possivel hipotensão, sonolencia, tontura, sedação, fraqueza, fadiga    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alcool, não usar na lactação , ↓função renal </t>
    </r>
  </si>
  <si>
    <t xml:space="preserve">Transitorio leve: ↑TGO, ↑TGP, transitorio: ↑ glicose c/dose única elevada Urina: ↓Na, ↓água, ↓volume </t>
  </si>
  <si>
    <t xml:space="preserve">Monitorar PA </t>
  </si>
  <si>
    <t xml:space="preserve">↓Na, ↓cal pode ser recomendado </t>
  </si>
  <si>
    <t xml:space="preserve">Tomar a última dose antes de dormir </t>
  </si>
  <si>
    <t xml:space="preserve">clonidin 150 mcg ampola 1ml</t>
  </si>
  <si>
    <t xml:space="preserve">Plavix 75 mg comprimido</t>
  </si>
  <si>
    <t>Clopidogrel</t>
  </si>
  <si>
    <t xml:space="preserve">Antiagregante Plaquetário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</si>
  <si>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Dispesia, nauseas, vomitos, dor abdominal, hemorragia gástrica, diarreia, obstipação             Precaução: ↓função hepatica</t>
    </r>
  </si>
  <si>
    <t xml:space="preserve">↑ tempo coagulação, ↓ plaquetas, anemia, ↓neutrofilos, ↑bil, ↑TGO, ↑TGP, ↑Col, ↑ác úrico  Urina: ITU</t>
  </si>
  <si>
    <t xml:space="preserve">Tomar sem considerar alimentação </t>
  </si>
  <si>
    <t xml:space="preserve">Cloreto de Potássio  10% 10 ml</t>
  </si>
  <si>
    <t xml:space="preserve">Cloreto de potássio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</si>
  <si>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Irritação gastrointestinal, dor abdominal, diarreia, flatulencia.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↓função renal. Não usar em IRC e úlcera, disfagia, doença cardíaca e pacientes acamados. </t>
    </r>
  </si>
  <si>
    <r>
      <t xml:space="preserve">↑ K, ↑Cl               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↑K, ↓Mg</t>
    </r>
  </si>
  <si>
    <t xml:space="preserve">Monitorar: K, Cl, Mg séricos </t>
  </si>
  <si>
    <t xml:space="preserve">Tomar com as refeições c/ 1 copo de água </t>
  </si>
  <si>
    <t xml:space="preserve">Slow K comprimido</t>
  </si>
  <si>
    <t xml:space="preserve">Repositor Eletrolítico </t>
  </si>
  <si>
    <t xml:space="preserve">Cloreto de sódio 20% 10 ml</t>
  </si>
  <si>
    <t xml:space="preserve">Cloreto de sódio</t>
  </si>
  <si>
    <t xml:space="preserve">Tylex 30mg e 7,5 mg comprimido</t>
  </si>
  <si>
    <t xml:space="preserve">Codeína + Paracetamol</t>
  </si>
  <si>
    <t xml:space="preserve">Analgésico Narcótico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</si>
  <si>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nauseas, vomito, obstipação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 Evitar alcool, lactação, ↓função renal ou hépatica. Pode causar dependencia a longo prazo </t>
    </r>
  </si>
  <si>
    <t xml:space="preserve">↑amilase, ↑lipase Urina: retenção  </t>
  </si>
  <si>
    <t xml:space="preserve">Tomar com a alimentação ou leite p/↓desconforto gástrico </t>
  </si>
  <si>
    <t xml:space="preserve">Complexo B ampola</t>
  </si>
  <si>
    <t xml:space="preserve">Piridoxina + dexpantenol + riboflavina + tiamina</t>
  </si>
  <si>
    <t>Polivitaminico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</si>
  <si>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Nauseas em alta dosagem, cefaleia, sonolencia, febre </t>
    </r>
  </si>
  <si>
    <t xml:space="preserve">↑TGO, ↓folato, ↓prolactina</t>
  </si>
  <si>
    <t xml:space="preserve">necessidade e piridoxina c/↑ingestão  proteíca, ↑ necessidade c/HIV</t>
  </si>
  <si>
    <t xml:space="preserve">DDAVP spray</t>
  </si>
  <si>
    <t xml:space="preserve">Acetado de desmopressina</t>
  </si>
  <si>
    <t xml:space="preserve">Hormônio antidiurético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</si>
  <si>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eructação, dor abdominal, colicas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</t>
    </r>
  </si>
  <si>
    <t xml:space="preserve">↓Na. Urina: ↓ excreção ↑osmolalidade</t>
  </si>
  <si>
    <t xml:space="preserve">Monitorar c/diabetes insipidus: excreção e osmolaliodade urinária. Eletrolitos c/uso de 7 dias </t>
  </si>
  <si>
    <t xml:space="preserve">Ajustar ingestão hidrica p/evitar hiperhidratação</t>
  </si>
  <si>
    <t xml:space="preserve">Decadron 4mg comprimido    </t>
  </si>
  <si>
    <t>Dexametasona</t>
  </si>
  <si>
    <t xml:space="preserve">Anti-inflamatório esteroidal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</si>
  <si>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Esofagite,nauseas, vomitos, dipepsia, úldera de pressão, flatulencia, sangramento, perfuração GI, ↑apetite, ↑peso, anorexia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na  lactação, na diabetes ↑ glicemia, ↓ função renal ou epilepsia</t>
    </r>
  </si>
  <si>
    <r>
      <t xml:space="preserve">↑Na,  ↓K, ↓Ca, ↑glicose, ↓Zn, ↓ác úrico, ↓vit C, ↓Vit A, ↑Tg, ↑Col, ↓T3, ↓T4, ↓TSH, ↑Hb,  ↑erit, discrasias 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 ↓Na, ↑K, ↑Ca, ↑ác úrico, ↑glicose, ↑ Zn, ↑vit C</t>
    </r>
  </si>
  <si>
    <t xml:space="preserve">Monitorar: Uso a longo prazo: eletrolitos, glicemia, Pa, peso, crescimento em crianças. Densidade óssea c/uso &gt; 2 meses, funçãoa drenal </t>
  </si>
  <si>
    <t xml:space="preserve">Tomar com alimentos ↓efeitos</t>
  </si>
  <si>
    <t xml:space="preserve">Decadron 2mg/ml</t>
  </si>
  <si>
    <t xml:space="preserve">Precedex 100mcg/ml</t>
  </si>
  <si>
    <t>Dexmedetomidina</t>
  </si>
  <si>
    <t>Sedativo</t>
  </si>
  <si>
    <t xml:space="preserve">Valium 5 mg comprimido    </t>
  </si>
  <si>
    <t>Diazepam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</si>
  <si>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↑salivação, naúsea, obstipação  Precaução: Não usar na lactação. Pode causar dependencia a longo prazo &gt; 4 semanas, ↓ função renal ou hépatica</t>
    </r>
  </si>
  <si>
    <t xml:space="preserve">↓T3, ↑TGO, ↑TGP, ↑LD, ↑bil                     Urina: Retenção, incontinência, falso para glicose e algumas fitas indicadoras</t>
  </si>
  <si>
    <t xml:space="preserve">Monitorar: Hemograma, função renal e hepática c/uso 4 semanas </t>
  </si>
  <si>
    <r>
      <rPr>
        <b/>
        <sz val="11"/>
        <color theme="0" tint="-0.499984740745262"/>
        <rFont val="Century Gothic"/>
      </rPr>
      <t xml:space="preserve">Com o consumo de Toranja</t>
    </r>
    <r>
      <rPr>
        <sz val="11"/>
        <color theme="0" tint="-0.499984740745262"/>
        <rFont val="Century Gothic"/>
      </rPr>
      <t xml:space="preserve"> = Aumento da absorção</t>
    </r>
  </si>
  <si>
    <t xml:space="preserve">Não ingestão de toranja                Limitar cafeína p/&lt;400 -500 mg/dia </t>
  </si>
  <si>
    <t xml:space="preserve">Pode ser tomado com o alimento </t>
  </si>
  <si>
    <t xml:space="preserve">Valium 10 mg comprimido    </t>
  </si>
  <si>
    <t xml:space="preserve">Valium 10mg injetável</t>
  </si>
  <si>
    <t xml:space="preserve">Cataflan gotas</t>
  </si>
  <si>
    <t xml:space="preserve">Diclofenaco potássico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</si>
  <si>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dipepsia, úlceras e sangramentos (Pode ser agudo ou grave), dor abdominal, obstipação, diarreia, flatulencia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Lactação, cuidado com HÁ, ICC ou edema. Não usar c/alergia à aspirina</t>
    </r>
  </si>
  <si>
    <t xml:space="preserve">↑TGO, ↑TGP</t>
  </si>
  <si>
    <t xml:space="preserve">Monitorar Função hepatica e renal em uso a longo prazo </t>
  </si>
  <si>
    <r>
      <rPr>
        <b/>
        <sz val="11"/>
        <color theme="0" tint="-0.499984740745262"/>
        <rFont val="Century Gothic"/>
      </rPr>
      <t xml:space="preserve">Com alimentos </t>
    </r>
    <r>
      <rPr>
        <sz val="11"/>
        <color theme="0" tint="-0.499984740745262"/>
        <rFont val="Century Gothic"/>
      </rPr>
      <t xml:space="preserve">= Atrasa a absorção, porém não influencia na quantidade a ser absorivda, não atrapalhando o tratamento de vários dias</t>
    </r>
  </si>
  <si>
    <t xml:space="preserve">Precaução com irritantes, suplementos de K (↑risco de irritação GI)</t>
  </si>
  <si>
    <t xml:space="preserve">Tomar c/alimento, leite ou 1 copo cheio de água </t>
  </si>
  <si>
    <t xml:space="preserve">Voltarem 75mg injetável</t>
  </si>
  <si>
    <t xml:space="preserve">Diclofenaco sódico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</si>
  <si>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dipepsia, úlceras e sangramentos (Pode ser agudo ou grave), dor abdominal, obstipação, diarreia, flatulencia   Precaução: Não usar Lactação, cuidado com HÁ, ICC ou edema. Não usar c/alergia à aspirina</t>
    </r>
  </si>
  <si>
    <t xml:space="preserve">Digoxina 0,25 comprimido</t>
  </si>
  <si>
    <t>Digoxina</t>
  </si>
  <si>
    <t xml:space="preserve">Estimulante cardíaco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</si>
  <si>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:Nauseas, diarreia, vomitos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c/obesidade: dose dever ser baseada no peso ideal. c/↓K, ↓Mg e ↓Ca séricos: ↑Toxidade do fármaco. Hipocalemia  ↓ efeitos do fármaco</t>
    </r>
  </si>
  <si>
    <t xml:space="preserve"> ↓ ou ↑K,  ↓Mg</t>
  </si>
  <si>
    <t xml:space="preserve">Monitorar: eletrolitros, especialmente K, Ca. Mg. Função renal e hepática</t>
  </si>
  <si>
    <r>
      <rPr>
        <b/>
        <sz val="11"/>
        <color theme="0" tint="-0.499984740745262"/>
        <rFont val="Century Gothic"/>
      </rPr>
      <t xml:space="preserve">Com alimentos ricos em fibra</t>
    </r>
    <r>
      <rPr>
        <sz val="11"/>
        <color theme="0" tint="-0.499984740745262"/>
        <rFont val="Century Gothic"/>
      </rPr>
      <t xml:space="preserve"> = Diminuição da absorção                                  </t>
    </r>
    <r>
      <rPr>
        <b/>
        <sz val="11"/>
        <color theme="0" tint="-0.499984740745262"/>
        <rFont val="Century Gothic"/>
      </rPr>
      <t xml:space="preserve">Suplemento de K</t>
    </r>
    <r>
      <rPr>
        <sz val="11"/>
        <color theme="0" tint="-0.499984740745262"/>
        <rFont val="Century Gothic"/>
      </rPr>
      <t xml:space="preserve"> = Diminui absorção do farmaco </t>
    </r>
    <r>
      <rPr>
        <b/>
        <sz val="11"/>
        <color theme="0" tint="-0.499984740745262"/>
        <rFont val="Century Gothic"/>
      </rPr>
      <t xml:space="preserve">Precaução c/ suplemento de Ca e/ou vit D:</t>
    </r>
    <r>
      <rPr>
        <sz val="11"/>
        <color theme="0" tint="-0.499984740745262"/>
        <rFont val="Century Gothic"/>
      </rPr>
      <t xml:space="preserve"> ↑ risco de Arritmias. Evitar erva de são joão  </t>
    </r>
  </si>
  <si>
    <t xml:space="preserve">Ingestão equilibrada no consumo de fibras.             Dosagem baseada no peso ideal                 Manter dieta rica em K e em Na, e adequada em Mg e Ca</t>
  </si>
  <si>
    <t xml:space="preserve">Administrar 30 minutos antes de uma refeição ou 02 horas depois</t>
  </si>
  <si>
    <t xml:space="preserve">Cardizem 30 mgcomprimido</t>
  </si>
  <si>
    <t>Diltiazem</t>
  </si>
  <si>
    <t>Antiaginoso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</si>
  <si>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dispepsia, nauseas, vomitos, obstipação, diarreia, febre intermitente, insônia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↓função renal ou hepatica</t>
    </r>
  </si>
  <si>
    <t>PA</t>
  </si>
  <si>
    <r>
      <rPr>
        <b/>
        <sz val="11"/>
        <color theme="0" tint="-0.499984740745262"/>
        <rFont val="Century Gothic"/>
      </rPr>
      <t xml:space="preserve">Com alimentos</t>
    </r>
    <r>
      <rPr>
        <sz val="11"/>
        <color theme="0" tint="-0.499984740745262"/>
        <rFont val="Century Gothic"/>
      </rPr>
      <t xml:space="preserve"> = Aumento da sua absorção e da sua biodisponibilidade</t>
    </r>
  </si>
  <si>
    <t xml:space="preserve">Dramin comprimido</t>
  </si>
  <si>
    <t xml:space="preserve">Dimenidrinato+ piridoxina + glicose</t>
  </si>
  <si>
    <t>Antiemético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</si>
  <si>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:Anorexia, boca seca, naúsea, desconforto epigástrico.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na lactação</t>
    </r>
  </si>
  <si>
    <t xml:space="preserve">Urina: Retenção</t>
  </si>
  <si>
    <t xml:space="preserve">Tomar c/alimento ou água p/↓ desconforto GI. Como antivertiginoso, tomar pelo menos 1/2 h e, de preferencia, 1-2 h antes da viagem</t>
  </si>
  <si>
    <t xml:space="preserve">Dramin injetável</t>
  </si>
  <si>
    <t xml:space="preserve">Luftal frasco (gotas)</t>
  </si>
  <si>
    <t>Simeticona</t>
  </si>
  <si>
    <t>Antifisético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</si>
  <si>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Eructação</t>
    </r>
  </si>
  <si>
    <t xml:space="preserve">Evitar bebidas carbonadas e alimentos formadores de gases p/prevenir flatulência. Realizar exercicíos físicos </t>
  </si>
  <si>
    <t xml:space="preserve">Tomar após as refeições e/ou deitar</t>
  </si>
  <si>
    <t xml:space="preserve">Luftal comprimido</t>
  </si>
  <si>
    <t>Daflon</t>
  </si>
  <si>
    <t xml:space="preserve">Diosmina + hesperidina</t>
  </si>
  <si>
    <t>Vasculoprotetor</t>
  </si>
  <si>
    <t xml:space="preserve">Novalgina 500 mg comprimido  </t>
  </si>
  <si>
    <t>Dipirona</t>
  </si>
  <si>
    <t>Analgésico</t>
  </si>
  <si>
    <t xml:space="preserve">novalgina 1gr ampola</t>
  </si>
  <si>
    <t xml:space="preserve">novalgina 2,5gr ampola </t>
  </si>
  <si>
    <t xml:space="preserve">novalgina 500mg gota)</t>
  </si>
  <si>
    <t xml:space="preserve">Dobutrex 250 mg injetável</t>
  </si>
  <si>
    <t>Dobutamina</t>
  </si>
  <si>
    <t xml:space="preserve">Amina Vasoativa</t>
  </si>
  <si>
    <t xml:space="preserve">Na dose terapeûtica reduz a Resistência Vascular Sistêmica (pós-carga) e reduz as pressões de enchimento do Ventrículo
Esquerdo.
</t>
  </si>
  <si>
    <t xml:space="preserve">Revivan 50mg/ml injetavel</t>
  </si>
  <si>
    <t>Dopamina</t>
  </si>
  <si>
    <t xml:space="preserve">Agonista Adrenérgico</t>
  </si>
  <si>
    <t>Efedrina</t>
  </si>
  <si>
    <t xml:space="preserve">Sulfato de efedrina</t>
  </si>
  <si>
    <t xml:space="preserve">Adrenalina 1mg</t>
  </si>
  <si>
    <t>Epinefrina</t>
  </si>
  <si>
    <t xml:space="preserve">Motilium 10 mg comprimido</t>
  </si>
  <si>
    <t>Domperidona</t>
  </si>
  <si>
    <t xml:space="preserve">Renitec  5mg comprimido</t>
  </si>
  <si>
    <t>Enalapril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</si>
  <si>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estomatite, nauseas, vomitos, dor abdominal, diarreia.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Alcool, não usar na lactação. Precaução em diabetes, ↓glicose, risco de anemia hemolítica (G6PD) </t>
    </r>
  </si>
  <si>
    <t xml:space="preserve">↑K, ↓Na, ↓Hb, ↓Hct. Transitório: ↑ureia, ↑creat</t>
  </si>
  <si>
    <t xml:space="preserve">Pa, K, função renal. Possivelmente função hepática</t>
  </si>
  <si>
    <t xml:space="preserve">↓Na, ↓cal pode ser recomendada. Evitar substitutos do sal&gt; precaução c/suplementos de K. Precaução c/suplementos de K. Precaução c/Fe</t>
  </si>
  <si>
    <t xml:space="preserve">Tomar s/considerar alimentação</t>
  </si>
  <si>
    <t xml:space="preserve">Renitec  20mg comprimido</t>
  </si>
  <si>
    <t xml:space="preserve">Clexane 20 </t>
  </si>
  <si>
    <t xml:space="preserve">Enoxaparina sódica</t>
  </si>
  <si>
    <t>Anticoagulante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</si>
  <si>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Dor abdominal, sangramento GI, obstipação, fezes escuras, nauseas, vomitos     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:Diabetes e IRC: Hipercalemia. Realizar cuidados dentários cautelosamente: ↑sangramento, c/↓função renal e hepática</t>
    </r>
  </si>
  <si>
    <t xml:space="preserve">↓plaquetas, ↑TGO, ↑TGP, ↑TP, ↑AGL, ↓T3↓Col </t>
  </si>
  <si>
    <t xml:space="preserve">Hemograma, plaquetas,sangueoculto </t>
  </si>
  <si>
    <t xml:space="preserve">Clexane 40 </t>
  </si>
  <si>
    <t xml:space="preserve">Clexane 60  </t>
  </si>
  <si>
    <t xml:space="preserve">Clexane 80</t>
  </si>
  <si>
    <t xml:space="preserve">Eprex 4000 UI</t>
  </si>
  <si>
    <t xml:space="preserve">Eritropoietina Humana</t>
  </si>
  <si>
    <t xml:space="preserve">Fator de crescimento hematopoiético</t>
  </si>
  <si>
    <t xml:space="preserve">Pode causar: Nauseas, vomito, diarreia. Precaução: Lactação, não usar em anemia por deficiencia de Fe, hemolise ou sangramento GI, epilepsia ou doença vascular</t>
  </si>
  <si>
    <t xml:space="preserve">↑erit, ↑Hb, ↑Hct, ↓Fe,↓ ferritina, ↓tempo de sangramento</t>
  </si>
  <si>
    <t xml:space="preserve">Monitorar antes do uso: reservas de Fe, vit B, folato (é essencial níveis adequados). Durante uso: PA, hemograma, plaquetas, reservas de Fe, função renal, ácido úrico, K, P.</t>
  </si>
  <si>
    <t xml:space="preserve">Pode necessitar suplementação de Fe, Vit B e folato</t>
  </si>
  <si>
    <t xml:space="preserve">Invanz </t>
  </si>
  <si>
    <t>Ertapenen</t>
  </si>
  <si>
    <t>↑Sódio</t>
  </si>
  <si>
    <t xml:space="preserve">Buscopan simples comprimido  </t>
  </si>
  <si>
    <t>Escopolamina</t>
  </si>
  <si>
    <t>Antiespasmódico</t>
  </si>
  <si>
    <t xml:space="preserve">Buscopan simples ampola</t>
  </si>
  <si>
    <t xml:space="preserve">Buscopan composto ampola </t>
  </si>
  <si>
    <t xml:space="preserve">Escopolamina + dipirona sódica (</t>
  </si>
  <si>
    <t xml:space="preserve">Buscopan composto comprimido </t>
  </si>
  <si>
    <t xml:space="preserve">Buscopan composto gota</t>
  </si>
  <si>
    <t xml:space="preserve">Aldactone 25mg comprimido</t>
  </si>
  <si>
    <t>Espirinolactona</t>
  </si>
  <si>
    <t>Diurético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</si>
  <si>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Anorexia, ↑sede, nauseas, boca seca, gastrite, cólicas, diarreia  precaução: Alcool, não usar na lactação, c/↓função renal</t>
    </r>
  </si>
  <si>
    <t xml:space="preserve">↑K, ↓Na, ↑uréia, ↑creat, ↑Mg  Urina: ↑Na, ↑água,↓K,↑cal</t>
  </si>
  <si>
    <t xml:space="preserve">PA, eletrolitos, função renal</t>
  </si>
  <si>
    <t xml:space="preserve">Evitar a ingestão excessiva de k, suplementos de K, substitutos de sal. ↓Na, ↓cal pode ser recomendada</t>
  </si>
  <si>
    <t xml:space="preserve">Tomar com o alimento p/↓ irritação GI e ↑abs</t>
  </si>
  <si>
    <t>Etomidato</t>
  </si>
  <si>
    <t xml:space="preserve">Anestésico não opióide</t>
  </si>
  <si>
    <t xml:space="preserve">Beriplex </t>
  </si>
  <si>
    <t xml:space="preserve">Fator II, Fator VII, Fator IX, Fator X, Proteína C, Proteína total</t>
  </si>
  <si>
    <t>Hemostático</t>
  </si>
  <si>
    <t xml:space="preserve">Hidantal 100mg comprimido</t>
  </si>
  <si>
    <t>Fenitoína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</si>
  <si>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Hiperplasia de gengiva, alterações no paladar, disfagia, nauseas, vomito, obstipação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Alcool, não usar na lactação, diabetes: ↑glicemia. Realizar cuidados dentários cautelosamente </t>
    </r>
  </si>
  <si>
    <t xml:space="preserve">↓folato, ↓vit D, ↓Ca, ↓P, ↓T4, ↓biotina, ↓tiamina, ↑glicose, ↑fosf alc, ↑GGT, ↑HDL. Urina: ↑biotina, ↓riboflavina</t>
  </si>
  <si>
    <t xml:space="preserve">Nível do fármaco, hemograma, plaquetas, função hepática, Ca, função da tireoíde, albumina. Possivelmente folato</t>
  </si>
  <si>
    <r>
      <rPr>
        <b/>
        <sz val="11"/>
        <color theme="0" tint="-0.499984740745262"/>
        <rFont val="Century Gothic"/>
      </rPr>
      <t xml:space="preserve">Excesso de ácido fólico e piroxidina (vitamina B6)</t>
    </r>
    <r>
      <rPr>
        <sz val="11"/>
        <color theme="0" tint="-0.499984740745262"/>
        <rFont val="Century Gothic"/>
      </rPr>
      <t xml:space="preserve">= Diminuição na concentração do fármaco                                           </t>
    </r>
    <r>
      <rPr>
        <b/>
        <sz val="11"/>
        <color theme="0" tint="-0.499984740745262"/>
        <rFont val="Century Gothic"/>
      </rPr>
      <t xml:space="preserve">Com alimento</t>
    </r>
    <r>
      <rPr>
        <sz val="11"/>
        <color theme="0" tint="-0.499984740745262"/>
        <rFont val="Century Gothic"/>
      </rPr>
      <t xml:space="preserve"> = Melhora a absorção do fármaco e previne a irritação gastrointestinal.  Deve ser administrado após as refeições.</t>
    </r>
  </si>
  <si>
    <t xml:space="preserve">Não suplementar com ácido fólico e dieta equilibrada em piroxidina (vitamina B6). Iniciar c/1m/dia de folato c/fenitoína. Pode necessitar de suplemento de vit D e/ou tiamina. Suplementos de Ca, Mg ou antiácidos podem ↓abs: tomar separadamente  por 2h.</t>
  </si>
  <si>
    <r>
      <t xml:space="preserve">Administrar 30 minutos antes de uma refeição ou 02 horas depois. Para diminuir. Tomar c/alimento ou leite p/↓irritação Gi (</t>
    </r>
    <r>
      <rPr>
        <b/>
        <sz val="11"/>
        <color theme="0" tint="-0.499984740745262"/>
        <rFont val="Century Gothic"/>
      </rPr>
      <t xml:space="preserve">não deve ser administrado com alimentos)</t>
    </r>
  </si>
  <si>
    <t xml:space="preserve">Hidantal 250mg ampola 5ml)</t>
  </si>
  <si>
    <r>
      <rPr>
        <b/>
        <sz val="11"/>
        <color theme="0" tint="-0.499984740745262"/>
        <rFont val="Century Gothic"/>
      </rPr>
      <t xml:space="preserve">Excesso de ácido fólico e piroxidina (vitamina B6)</t>
    </r>
    <r>
      <rPr>
        <sz val="11"/>
        <color theme="0" tint="-0.499984740745262"/>
        <rFont val="Century Gothic"/>
      </rPr>
      <t xml:space="preserve">= Diminuição na concentração do fármaco                                           </t>
    </r>
    <r>
      <rPr>
        <b/>
        <sz val="11"/>
        <color theme="0" tint="-0.499984740745262"/>
        <rFont val="Century Gothic"/>
      </rPr>
      <t xml:space="preserve">Com alimento</t>
    </r>
    <r>
      <rPr>
        <sz val="11"/>
        <color theme="0" tint="-0.499984740745262"/>
        <rFont val="Century Gothic"/>
      </rPr>
      <t xml:space="preserve"> = Melhora a absorção fo fármaco e previne a irritação gastrointestinal</t>
    </r>
  </si>
  <si>
    <t xml:space="preserve">Administrar 30 minutos antes de uma refeição ou 02 horas depois. Para diminuir. Tomar c/alimento ou leite p/↓irritação Gi </t>
  </si>
  <si>
    <t xml:space="preserve">Gardenal comprimido</t>
  </si>
  <si>
    <t>Fenobarbital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</si>
  <si>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vomitos, obstipação.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Alcool, não usar na lactação,c/↓função renal e hepática,  pode causar dependencia a longo prazo </t>
    </r>
  </si>
  <si>
    <t xml:space="preserve">↓bil, ↓folato, ↑col, ↑NH,↓cal,↓vit D, ↓Mg</t>
  </si>
  <si>
    <t xml:space="preserve">Monitorar a longo prazo: folato, vit B, hemograma, função hepática e renal, niveis do farmaco</t>
  </si>
  <si>
    <r>
      <rPr>
        <b/>
        <sz val="11"/>
        <color theme="0" tint="-0.499984740745262"/>
        <rFont val="Century Gothic"/>
      </rPr>
      <t xml:space="preserve">Com alimento</t>
    </r>
    <r>
      <rPr>
        <sz val="11"/>
        <color theme="0" tint="-0.499984740745262"/>
        <rFont val="Century Gothic"/>
      </rPr>
      <t xml:space="preserve">= Alteração da biodisponibilidade na ingestão de alimentos ácidos</t>
    </r>
  </si>
  <si>
    <t xml:space="preserve">Equilibrio na ingestão de alimentos capazes de acidificar ou alcalinizar a urina. ↑Ingestão de vit D e Ca. Limitar xantina/cafeína. Pode necessitar de suplementação de vit D, Vit B e folato c/uso a longo prazo.</t>
  </si>
  <si>
    <t xml:space="preserve">Gardenal 200mg ampola 2ml)</t>
  </si>
  <si>
    <r>
      <rPr>
        <b/>
        <sz val="11"/>
        <color theme="0" tint="-0.499984740745262"/>
        <rFont val="Century Gothic"/>
      </rPr>
      <t xml:space="preserve">Com alimento</t>
    </r>
    <r>
      <rPr>
        <sz val="11"/>
        <color theme="0" tint="-0.499984740745262"/>
        <rFont val="Century Gothic"/>
      </rPr>
      <t xml:space="preserve">= Alteração da biodisponibilidade na ingestão de alimentos ácidos. Administrado com dietas hiperproteica e hipergicemica diminui a atividade da enzima  citocromo P450, consequentemente diminui a absorção do gardenal.</t>
    </r>
  </si>
  <si>
    <t xml:space="preserve">Berotec 5mg/ml frasco 20ml</t>
  </si>
  <si>
    <t>Fenoterol</t>
  </si>
  <si>
    <t xml:space="preserve">Fentanil 50mcg/2ml </t>
  </si>
  <si>
    <t>Fentanila</t>
  </si>
  <si>
    <t xml:space="preserve">Pode causar: Anorexia, boca seca, dispepsia, nauseas, vomito, dor abdominal, obstipação, diarreia, flatulencia, soluços.Efeitos adversos: Miose, Bradicardia, Rigidez
muscular (tronco; injeção rápida),
Rápido desenvolvimento de tolerância,
Depressão respiratória, Náuseas, vômitos,
íleo, espasmo vias biliares, retenção
urinária, Prurido após injeção espinhal, Efeito prolongado em cirrrose.
 Precaução: Evitar alccol, não usar na lactação, pode causar dependencia a longo prazo, ↓ função renal ou hepática</t>
  </si>
  <si>
    <t>Fentanil50mcg/10ml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</si>
  <si>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Anorexia, boca seca, dispepsia, nauseas, vomito, dor abdominal, obstipação, diarreia, flatulencia, soluços.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Evitar alccol, não usar na lactação, pode causar dependencia a longo prazo, ↓ função renal ou hepática</t>
    </r>
  </si>
  <si>
    <t xml:space="preserve">Allegra 120mg e 180 mg</t>
  </si>
  <si>
    <t>Fenoxfenadina</t>
  </si>
  <si>
    <t>Antialérgico</t>
  </si>
  <si>
    <t xml:space="preserve">Granulokine 300mcg</t>
  </si>
  <si>
    <t>Filgrastin</t>
  </si>
  <si>
    <t>Imunoestimulante</t>
  </si>
  <si>
    <t xml:space="preserve">Kanakion  EV </t>
  </si>
  <si>
    <t>Fitometadiona</t>
  </si>
  <si>
    <t>Vitamina/antídoto</t>
  </si>
  <si>
    <r>
      <rPr>
        <b/>
        <sz val="11"/>
        <color theme="0" tint="-0.499984740745262"/>
        <rFont val="Century Gothic"/>
      </rPr>
      <t xml:space="preserve">Pode causa</t>
    </r>
    <r>
      <rPr>
        <sz val="11"/>
        <color theme="0" tint="-0.499984740745262"/>
        <rFont val="Century Gothic"/>
      </rPr>
      <t xml:space="preserve">r: febre intermitente, tontura, erupções, reação anafilática.        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 c/dose farmacologica, uso de anticoagulantes, ↑doses de suplemento de vit E antagoniza ação da vit K e ↑risco de hemorragia. Vit K ↓atividade anticoagulante e ↑risco de formação de coagulo</t>
    </r>
  </si>
  <si>
    <t xml:space="preserve">↓TP, ↑fatores de coagulação Urina: ↓Ca</t>
  </si>
  <si>
    <t xml:space="preserve">Monitorar: TP</t>
  </si>
  <si>
    <t xml:space="preserve">Precaução c/doses elevadas de vit A,D ou suplementos de E: def relativa de vit K</t>
  </si>
  <si>
    <t xml:space="preserve">Kanakion IM)</t>
  </si>
  <si>
    <r>
      <rPr>
        <b/>
        <sz val="11"/>
        <color theme="0" tint="-0.499984740745262"/>
        <rFont val="Century Gothic"/>
      </rPr>
      <t xml:space="preserve">Pode causa</t>
    </r>
    <r>
      <rPr>
        <sz val="11"/>
        <color theme="0" tint="-0.499984740745262"/>
        <rFont val="Century Gothic"/>
      </rPr>
      <t xml:space="preserve">r: febre intermitente, tontura, erupções, reação anafilática.                                    Precaução: Lactação c/dose farmacologica, uso de anticoagulantes, ↑doses de suplemento de vit E antagoniza ação da vit K e ↑risco de hemorragia. Vit K ↓atividade anticoagulante e ↑risco de formação de coagulo</t>
    </r>
  </si>
  <si>
    <t xml:space="preserve">Zoltec  150mg comprimido</t>
  </si>
  <si>
    <t>Fluconazol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</si>
  <si>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Alterações no paladar, nauseas, vomitos, boca seca, dor abdominal, diarreia, cefaleia, erupções cutaneas, tremor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na lactação, na diabetes c/sulfoniluréia</t>
    </r>
  </si>
  <si>
    <t xml:space="preserve">↑TGO,↑TGP, ↑fosf alc, ↑bil, ↑GGT </t>
  </si>
  <si>
    <t xml:space="preserve">Monitar: função hepática</t>
  </si>
  <si>
    <t xml:space="preserve">Tomar sem considerar a alimentação. Tomar com alimento se ocorrer desconforto GI</t>
  </si>
  <si>
    <t xml:space="preserve">Zoltec 200mg/100ml bolsa</t>
  </si>
  <si>
    <t xml:space="preserve">Lanexat 0,5mg /5ml</t>
  </si>
  <si>
    <t>Flumazenil</t>
  </si>
  <si>
    <t>Antídoto/anestésico</t>
  </si>
  <si>
    <t xml:space="preserve">Rohypnol 1mg comp</t>
  </si>
  <si>
    <t>Flunitrazepam</t>
  </si>
  <si>
    <t>Hipnótico/ansiolítico</t>
  </si>
  <si>
    <t xml:space="preserve">Prozac 20mg comprimido</t>
  </si>
  <si>
    <t>Fluoxetina</t>
  </si>
  <si>
    <t>Antidepressivo</t>
  </si>
  <si>
    <t xml:space="preserve">Pode causar: Anorexia, ↓peso, pode ↓ abs de leucina, boca seca, dispepsia, nauseas, vômito, diarreia, obstipação, alterações no paladar. Precaução: Diabetes (hipoglicemia), idosos(↑anorexia), ↓função hepática</t>
  </si>
  <si>
    <t xml:space="preserve">↑ ou ↓glicose, ↓Na. Urina: ↑frequencia </t>
  </si>
  <si>
    <t xml:space="preserve">Não tomas c/suplementação de triptofano</t>
  </si>
  <si>
    <t xml:space="preserve">Tomar pela manhã sem considerar a alimentação </t>
  </si>
  <si>
    <t xml:space="preserve">Lasix 20mg/2ml ampola</t>
  </si>
  <si>
    <t>Furosemida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</si>
  <si>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Irritação oral, colicas estomacais, nauseas, vomito, obstipação, sorbitol em soluçãi pode causar diarreia em altas doses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diabetes (↑ glicose), c/↓função hepática ou renal grave</t>
    </r>
  </si>
  <si>
    <t xml:space="preserve">↓K, ↓Mg, ↓Na, ↓ Cl, ↓Ca, ↑glicose, ↑ureia, ↑ácido úrico, discrasias, anemia, ↑col, ↑|LDL, ↑VLDL, ↑TG Urina: ↑K, ↑Na, ↑Cl, ↑Mg, ↑Ca, ↑água, ↑glicose</t>
  </si>
  <si>
    <t xml:space="preserve">PA, eletrolitos, Mg, Ca, glicose, ác urico, CO, função renal, função hepatica a longo prazo </t>
  </si>
  <si>
    <r>
      <rPr>
        <b/>
        <sz val="11"/>
        <color theme="0" tint="-0.499984740745262"/>
        <rFont val="Century Gothic"/>
      </rPr>
      <t xml:space="preserve">Com alimentos</t>
    </r>
    <r>
      <rPr>
        <sz val="11"/>
        <color theme="0" tint="-0.499984740745262"/>
        <rFont val="Century Gothic"/>
      </rPr>
      <t xml:space="preserve"> = Diminuição da absorção                                            </t>
    </r>
  </si>
  <si>
    <t xml:space="preserve">↑K, ↑Mg(ou suplementação de K ,Mg), ↓Cal, ↓Na pode ser recomendada</t>
  </si>
  <si>
    <t xml:space="preserve">Administrar 30 minutos antes de uma refeição ou 02 horas depois. Pode tomar com alimento p/diminuir desconforto gástrico</t>
  </si>
  <si>
    <t xml:space="preserve">Lasix 40mg comprimido)</t>
  </si>
  <si>
    <t xml:space="preserve">Neurotin 300mg comprimido</t>
  </si>
  <si>
    <t>Gabapentina</t>
  </si>
  <si>
    <t xml:space="preserve">Garamicina 20mg/1ml ,</t>
  </si>
  <si>
    <t>Gentamicina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</si>
  <si>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Estomatite, ↑salivação, nauseas e vomitos precaução: não usar na lactação, ↓ função renal ou derordem neuromuscular, nefrotoxidade</t>
    </r>
  </si>
  <si>
    <r>
      <t xml:space="preserve">↑ ureia , ↑Creat, ↑N, ↑TGO, ↑TGP, ↑fosf alc, ↑bil, ↑LD, ↓Mg, ↓K, ↓Na, ↓Ca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Ptn, oligúria</t>
    </r>
  </si>
  <si>
    <t xml:space="preserve">Função renal, eletrolitos, Ca, Mg, urinálise. Testes de audição</t>
  </si>
  <si>
    <t xml:space="preserve">Assegurar ingestão hidrica adequada</t>
  </si>
  <si>
    <t xml:space="preserve">Garamicina 60mg/1,5ml </t>
  </si>
  <si>
    <t xml:space="preserve">Garamicina 80mg/2ml</t>
  </si>
  <si>
    <t xml:space="preserve">Diamicro MR 30mg comprimido</t>
  </si>
  <si>
    <t>Gliclazida</t>
  </si>
  <si>
    <t xml:space="preserve">Antidiabético oral</t>
  </si>
  <si>
    <t xml:space="preserve">Gluconato de Calcio 10% 10ml</t>
  </si>
  <si>
    <t xml:space="preserve">Gliconato de cálcio</t>
  </si>
  <si>
    <t xml:space="preserve">Repositor hidroeletrolítico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</si>
  <si>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Hipercalcemia c/alcalose infrequente, paladar característico, boca seca, ↓diarreia. Dose excessiva:Nausea/vomito, dor abdominal, obstipação, flatulencia. Precaução: Limitar alcool e cafeína (&lt;8 copos de café/dia)</t>
    </r>
  </si>
  <si>
    <t xml:space="preserve">↑Ca e ↓P em IRC. Urina: ↑Ca. Poliuria c/doses excessivas </t>
  </si>
  <si>
    <t xml:space="preserve">Ca, P séricos </t>
  </si>
  <si>
    <t xml:space="preserve">Assegurar ingestão hidrica adequada. Tomar separadamente de grandes quantidades de fibra, em oxalato ou em fitato. Tomar suplemento de Fe, Zn ou F separado por intervalo de 1-2 horas (pode ↓abs), Vit D ↑abs de Ca</t>
  </si>
  <si>
    <t xml:space="preserve">Tomar c/as refeições como suplemento e quelante de P. Tomar 1-3 horas após as refeições como antiacido </t>
  </si>
  <si>
    <t xml:space="preserve">Haldol 5mg ampola,</t>
  </si>
  <si>
    <t>Haloperidol</t>
  </si>
  <si>
    <t>Neuroleptico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</si>
  <si>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:↑apetite,↑peso, anorexia, boca seca, ↑salivação, dispepsia, nauseas, vomito, obstipação, diarreia. Precaução: Evitar alcool, não usar na lactação</t>
    </r>
  </si>
  <si>
    <t xml:space="preserve">↑ prolactina,  ou ↓leuc, anemia, ↑  ou ↓ glicose, ↓Na. Urina: Retenção</t>
  </si>
  <si>
    <t xml:space="preserve">Possivelmente Hemograma, função hepática c/uso a ongom prazo</t>
  </si>
  <si>
    <t xml:space="preserve">Tomar c/alimento ou leite p/↓desconforto GI. </t>
  </si>
  <si>
    <t xml:space="preserve">Haldol 1 mg comprimido</t>
  </si>
  <si>
    <t xml:space="preserve">Haldol gota 20ml</t>
  </si>
  <si>
    <t xml:space="preserve">Heparin 500 Ui/ml 5ml</t>
  </si>
  <si>
    <t>Heparina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</si>
  <si>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Dor abdominal, sangramento de GI, obstipação, fezes escuras, nauseas, vomito, sangramento, hemorragia, tontura, cefaleia.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Diabetes e IRC: Hipercalemia. Realizar cuidados dentários cautelosamente: ↑ sangramento, c/↓ função hepática ou renal</t>
    </r>
  </si>
  <si>
    <t xml:space="preserve">↓plaquetas, ↑TGO, ↑TGP, ↑TP, ↓Tg,↑AGL,↓Col, ↓T3 </t>
  </si>
  <si>
    <r>
      <rPr>
        <b/>
        <sz val="11"/>
        <color theme="0" tint="-0.499984740745262"/>
        <rFont val="Century Gothic"/>
      </rPr>
      <t>Monitorar</t>
    </r>
    <r>
      <rPr>
        <sz val="11"/>
        <color theme="0" tint="-0.499984740745262"/>
        <rFont val="Century Gothic"/>
      </rPr>
      <t xml:space="preserve">: TTP, contagem de plaquetas, Hct, sangue oculto </t>
    </r>
  </si>
  <si>
    <t xml:space="preserve">Apresolina 25mg comprimido</t>
  </si>
  <si>
    <t>Hidralazina</t>
  </si>
  <si>
    <r>
      <t xml:space="preserve">Pode causar: </t>
    </r>
    <r>
      <rPr>
        <sz val="11"/>
        <color theme="0" tint="-0.499984740745262"/>
        <rFont val="Century Gothic"/>
      </rPr>
      <t xml:space="preserve">Boca seca, paladar desagradavel,  naúseas, vomito, desconforto GI, diarreia, obstipação.                             </t>
    </r>
    <r>
      <rPr>
        <b/>
        <sz val="11"/>
        <color theme="0" tint="-0.499984740745262"/>
        <rFont val="Century Gothic"/>
      </rPr>
      <t xml:space="preserve"> Precaução</t>
    </r>
    <r>
      <rPr>
        <sz val="11"/>
        <color theme="0" tint="-0.499984740745262"/>
        <rFont val="Century Gothic"/>
      </rPr>
      <t xml:space="preserve">: limitar alcool, lactação. Pode causar sindrome reumatoide semelhante ao lúpus, ↓função renal, hipertensão pulmonar </t>
    </r>
  </si>
  <si>
    <t xml:space="preserve">↓ plaquetas, ↑TGO, ↑TGP, ↑TP, ↓Tg, ↑AGL, ↓Col, ↓T3</t>
  </si>
  <si>
    <r>
      <rPr>
        <b/>
        <sz val="11"/>
        <color theme="0" tint="-0.499984740745262"/>
        <rFont val="Century Gothic"/>
      </rPr>
      <t>Monitorar</t>
    </r>
    <r>
      <rPr>
        <sz val="11"/>
        <color theme="0" tint="-0.499984740745262"/>
        <rFont val="Century Gothic"/>
      </rPr>
      <t xml:space="preserve">: TPP, contagem de plaquetas, Hct, sangue oculto </t>
    </r>
  </si>
  <si>
    <t xml:space="preserve">Interfere c/metabolismo de piridoxina&gt; Possivel deficiencia de piridoxina      Com alimentos hiperlipidicos = Aumenta a sua absorção </t>
  </si>
  <si>
    <t xml:space="preserve">↓Na,↓cal pode ser recomendada. </t>
  </si>
  <si>
    <t xml:space="preserve">Tomar todos os dias no mesmo horário sem considerar a alimentação</t>
  </si>
  <si>
    <t xml:space="preserve">Nepresol 20mg injetavel</t>
  </si>
  <si>
    <t xml:space="preserve">Drenol 25mg comprimido</t>
  </si>
  <si>
    <t>Hidroclorotiazida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</si>
  <si>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nauseas, vomito, irritação GI, diarreia, obstipação. Precaução: Não usar na lactação, diabetes (↑glicemia), c/↓função renal ou hepática</t>
    </r>
  </si>
  <si>
    <t xml:space="preserve">↑Glicose, ↓Na, ↓Cl, ↓K, ↓Mg, ↓Zn, ↑Ca, discreasias, ↑ác úrico, ↑bil, ↑Col, ↑LDL, ↑VLDL, ↑Tg, ↑úreia, ↑creat. Urina: ↑água, ↑Na, ↑Cl, ↑K, ↑Mg, ↓Ca, ↑glicose, ↓ác úrico,↑Zn,↑bic  </t>
  </si>
  <si>
    <t xml:space="preserve">Eletrolitos, Mg, Ca, função renal, ác úrico, PA, glicemia </t>
  </si>
  <si>
    <t xml:space="preserve">↓Na, ↓Cal,↑K, ↑Mg ( ou suplementação de K ou Mg). Precaução c/ suplemento de Ca e/ou vit D: risco de hipercalcemia</t>
  </si>
  <si>
    <t xml:space="preserve">Tomar  pela manhã c/alimento e leite </t>
  </si>
  <si>
    <t xml:space="preserve">Solu cortef 100mg </t>
  </si>
  <si>
    <t>Hidrocortisona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</si>
  <si>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Nauseas, vomito, dor abdominal Precaução: Evitar alcool  (possivel reação semelhante dissulfiram. Não usar na lactação, c/acloridria (deve ser tomado c/liquido ácido), ↓função hepatica</t>
    </r>
  </si>
  <si>
    <t xml:space="preserve">↑TGO, ↑TGP, ↑fosf alc, ↑bil, ↓bil, ↓Col, ↓LDL, ↓Na, ↑K, ↓cortisol</t>
  </si>
  <si>
    <t xml:space="preserve">Monitorar função hepatica </t>
  </si>
  <si>
    <t xml:space="preserve">Tomar com os alimentos </t>
  </si>
  <si>
    <t xml:space="preserve">Solu cortef 500mg injetável</t>
  </si>
  <si>
    <t xml:space="preserve">Mylanta plus frasco 240ml</t>
  </si>
  <si>
    <t xml:space="preserve">Hidroxido de alumino + magnésio+simeticona</t>
  </si>
  <si>
    <t>Antiácido</t>
  </si>
  <si>
    <t xml:space="preserve">Noripurum EV amp 5ml</t>
  </si>
  <si>
    <t xml:space="preserve">Hidroxido ferroso</t>
  </si>
  <si>
    <t xml:space="preserve">Suplemento mineral</t>
  </si>
  <si>
    <t xml:space="preserve">Alivium 100mg/ml gota</t>
  </si>
  <si>
    <t>Ibuprofeno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</si>
  <si>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vômito, dispseia, dor abdominal, flatulência, obstipação, diarreia, úlcera e sangramento GI (pode ser agudo e grave).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:Evitar alcool, não usar na lactação, não usar em alergia à aspirina, ↓função hepática ou renal  </t>
    </r>
  </si>
  <si>
    <t xml:space="preserve">↑TGO, ↑TGP, ↑ fosf alc, ↓ Hb (&gt;20%) c/altas doses a longo prazo, ↓Hct, ↑uréia, ↑creat, ↓glicose</t>
  </si>
  <si>
    <t xml:space="preserve">Hemograma, função hepática e renal em uso a longo prazo</t>
  </si>
  <si>
    <t xml:space="preserve">Precaução com irritantes  GI (ex: suplementos de K)</t>
  </si>
  <si>
    <t xml:space="preserve">Tomar  c/alimento ou leite p/ ↓efeitos </t>
  </si>
  <si>
    <t xml:space="preserve">Alivium 300mg comprimido</t>
  </si>
  <si>
    <t xml:space="preserve">Imunoglobulina Humana 5g</t>
  </si>
  <si>
    <t xml:space="preserve">Imunoglobulina humana</t>
  </si>
  <si>
    <t>Imunoterapico</t>
  </si>
  <si>
    <t xml:space="preserve">Insulina NPH</t>
  </si>
  <si>
    <t>Hipoglicemiante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</si>
  <si>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↑peso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Alcool (efeito hipoglicemiante), lactação, ↓função hepática ou renal</t>
    </r>
  </si>
  <si>
    <t>↓glicose</t>
  </si>
  <si>
    <t xml:space="preserve">Glicose sanguinea e urinária, HBA1. Cetonas na urina </t>
  </si>
  <si>
    <t xml:space="preserve">Plano de refeições p/equilibrar CHO c/insulina</t>
  </si>
  <si>
    <t xml:space="preserve">Insulina Regular</t>
  </si>
  <si>
    <t xml:space="preserve">Insulina Lantus</t>
  </si>
  <si>
    <t xml:space="preserve">Isordil 5mg sublingual</t>
  </si>
  <si>
    <t>Isossorbida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</si>
  <si>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Cefaleia, febre intermitente, tontura, hipotensão ortostática, fraqueza, taquicardia.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Alcool, lactação</t>
    </r>
  </si>
  <si>
    <t xml:space="preserve">↑TGO, ↑TGP,↑ác úrico, ↓K, ↑metahemoglobina </t>
  </si>
  <si>
    <t xml:space="preserve">Monitorar: PA, taxa cardíaca. Possivelmente K, metahemoglobina </t>
  </si>
  <si>
    <t xml:space="preserve">Tomar  c/estomago vazio, c/1 copo de água p/↑ taxa de abs</t>
  </si>
  <si>
    <t xml:space="preserve">Monocordil 20mg comprimido</t>
  </si>
  <si>
    <t xml:space="preserve">Mononitrato Isossorbida</t>
  </si>
  <si>
    <t xml:space="preserve">lactulona xarope</t>
  </si>
  <si>
    <t xml:space="preserve">Lactulose xarope</t>
  </si>
  <si>
    <t xml:space="preserve">Lamictal 50 mg comprimido</t>
  </si>
  <si>
    <t xml:space="preserve">Lamotrigina 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</si>
  <si>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vômitos, dispesia, dor abdominal, diarreia, obstipação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na lactação, evitar alcool, ↓função renal, hepática ou cardíaca</t>
    </r>
  </si>
  <si>
    <t xml:space="preserve">ITU </t>
  </si>
  <si>
    <t xml:space="preserve">Tomar s/considerar a alimentação </t>
  </si>
  <si>
    <t xml:space="preserve">Levaquin 500 mg comprimido </t>
  </si>
  <si>
    <t>Levofloxaxino</t>
  </si>
  <si>
    <t xml:space="preserve">Pode causar: Perda de paladar,nausea, vomito, dispesia, dor abdominal , diarreia, obstipação, flatulencia. Precuação: Diabetes: ↓ou ↑glicose, ↓função renal ou epilepsia</t>
  </si>
  <si>
    <r>
      <rPr>
        <b/>
        <sz val="11"/>
        <color theme="0" tint="-0.499984740745262"/>
        <rFont val="Century Gothic"/>
      </rPr>
      <t>Moinitorar</t>
    </r>
    <r>
      <rPr>
        <sz val="11"/>
        <color theme="0" tint="-0.499984740745262"/>
        <rFont val="Century Gothic"/>
      </rPr>
      <t xml:space="preserve">: função hepática ou renal, hemograma </t>
    </r>
  </si>
  <si>
    <t xml:space="preserve">N/A </t>
  </si>
  <si>
    <t xml:space="preserve">Com suplementos contendo magnésio, alumínio, ferro ou zinco = diminuição da eficácia do medícarnento.'
</t>
  </si>
  <si>
    <t xml:space="preserve">Se o paciente pode receber nutrição enteral intermitente, deve-se pausar a dieta 2 h antes e retomar 2h após administração do medicamento. Recomenda-se que para pacientes com nutrição enteral contínua seja administrada levofloxacino parenteral,
</t>
  </si>
  <si>
    <t xml:space="preserve">Administrar 2h antes ou 2h após administração de suplementos contendo magnésio, alumínio, ferro ou zinco, além de multivitarninicos.
</t>
  </si>
  <si>
    <t xml:space="preserve">Levaquin 500mg/100ml bolsa</t>
  </si>
  <si>
    <t xml:space="preserve">Neozine 4% frasco</t>
  </si>
  <si>
    <t>Levomepromazina</t>
  </si>
  <si>
    <t xml:space="preserve">Puran T4 25 mcg </t>
  </si>
  <si>
    <t>Levotiroxina</t>
  </si>
  <si>
    <t xml:space="preserve">Hormônio Tireoidiano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</si>
  <si>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Alterações no apetite.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:Lactação, diabetes c/insulina ou sulfoniluréia: ↑glicemia, c/doença cardiovascular, HÁ</t>
    </r>
  </si>
  <si>
    <t xml:space="preserve">↑T3, ↑T4, ↓TSH, ↑glicose, ↓col</t>
  </si>
  <si>
    <t xml:space="preserve">Monitorar: função da tireoide, TSH </t>
  </si>
  <si>
    <r>
      <rPr>
        <b/>
        <sz val="11"/>
        <color theme="0" tint="-0.499984740745262"/>
        <rFont val="Century Gothic"/>
      </rPr>
      <t xml:space="preserve">Com nutrição enteral</t>
    </r>
    <r>
      <rPr>
        <sz val="11"/>
        <color theme="0" tint="-0.499984740745262"/>
        <rFont val="Century Gothic"/>
      </rPr>
      <t xml:space="preserve"> = o uso pode diminuir a ação do fárrnaco.           Dieta rica em fibras pode diminuir a absorção de levotiroxina no TGI </t>
    </r>
  </si>
  <si>
    <t xml:space="preserve">Dieta pobre em fibras. Tomar suplemento de Fe separadamente em 4 h (pode ↓abs)
</t>
  </si>
  <si>
    <t xml:space="preserve">Administrar com estômago vazio, pelo menos 30 minutos antes das refeições/enteral.
</t>
  </si>
  <si>
    <t xml:space="preserve">Puran T4 100 mcg</t>
  </si>
  <si>
    <t xml:space="preserve">Zyvox 600mg/300ml</t>
  </si>
  <si>
    <t>Linesolida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</si>
  <si>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Candidiase oral, alterações de paladar, descoloração na lingua, nauseas, vomitos, diarreia, obstipação.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>:Lactação</t>
    </r>
  </si>
  <si>
    <t xml:space="preserve">↓ Hb, ↓ plaquetas, ↓netrofilos, ↓leuc, ↑TGO, ↑TGP, ↑LD, ↑bil, ↑fosf alc, ↑amilase, ↑lipase, ↑ureia</t>
  </si>
  <si>
    <t xml:space="preserve">Monitorar: Plaquetas c/uso &gt;2 semanas</t>
  </si>
  <si>
    <t xml:space="preserve">Evitar  grandes quantidades de alimentos ricos em tiramina </t>
  </si>
  <si>
    <t xml:space="preserve">Imosec 2mg</t>
  </si>
  <si>
    <t>Loperamida</t>
  </si>
  <si>
    <t>Antidiarreico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</si>
  <si>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nauseas, vomitos, dores abdominais, flatulencia. Precaução na lactação, não usar em colite pseudomembranosa, colite ulcerativa ou desinteria aguda, c/↓função hepática: risco de toxidade do SNC</t>
    </r>
  </si>
  <si>
    <t xml:space="preserve">Monitorar: Liquidos e eletrolitos </t>
  </si>
  <si>
    <t xml:space="preserve">Pode ↑necessidade de líquido e eletrolitos</t>
  </si>
  <si>
    <t xml:space="preserve">Lorax 2mg comprimido</t>
  </si>
  <si>
    <t xml:space="preserve">Lorazepam </t>
  </si>
  <si>
    <t xml:space="preserve">Pode causar: Boca seca, nausea, obstipação. Precaução: Evitar alcool, não usar na lactação. Pode causar dependencia em uso a longo prazo</t>
  </si>
  <si>
    <t xml:space="preserve">↑LD, ↓leuc</t>
  </si>
  <si>
    <t xml:space="preserve">Monitorar: hemograma e função hepática em uso a longo prazo </t>
  </si>
  <si>
    <t xml:space="preserve">Limitar cafeína p/ &lt;500mg/dia</t>
  </si>
  <si>
    <t xml:space="preserve">Pode tomar com alimento p/↓desconforto</t>
  </si>
  <si>
    <t xml:space="preserve">Coozar 50mg</t>
  </si>
  <si>
    <t>Losartan</t>
  </si>
  <si>
    <t xml:space="preserve">Pode causar: Boca seca, naúsea, obstipação. Precaução: evitar alcool, não usar na lactação, ↓ função hepática</t>
  </si>
  <si>
    <t xml:space="preserve">Levemente: ↓Hb, ↓Hct, ↓ác úrico, ↑K. Urina: ↑ác úrico</t>
  </si>
  <si>
    <t xml:space="preserve">Monitorar: PA</t>
  </si>
  <si>
    <t xml:space="preserve">↓Na, ↓cal pode ser recomendada</t>
  </si>
  <si>
    <t xml:space="preserve">Muvinlax pó</t>
  </si>
  <si>
    <t>Macrogol+eletrólitos</t>
  </si>
  <si>
    <t xml:space="preserve">Polaramine  2mg comp </t>
  </si>
  <si>
    <t xml:space="preserve">Maleato de dexclorfeniramina</t>
  </si>
  <si>
    <t xml:space="preserve">Polaramine  2mg/5ml </t>
  </si>
  <si>
    <t xml:space="preserve">Ebix 10mg</t>
  </si>
  <si>
    <t>Memantina</t>
  </si>
  <si>
    <t>Alzheimer</t>
  </si>
  <si>
    <t xml:space="preserve">Dolantina 50mg/ml</t>
  </si>
  <si>
    <t>Meperidina/petidina</t>
  </si>
  <si>
    <t xml:space="preserve">Analgésico Narcótico/opióide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</si>
  <si>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nauseas, vomito, dor GI, obstipação.                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Evitar alcool, não usar na lactação, ↓função hepática ou renal, epilepsia </t>
    </r>
  </si>
  <si>
    <t xml:space="preserve">Meronem  1gr frasco</t>
  </si>
  <si>
    <t>Meropenem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</si>
  <si>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Moniliase oral, glossite, nauseas, vomito, diarreia, obstipação. Precaução: Lactação, ↓função renal</t>
    </r>
  </si>
  <si>
    <t xml:space="preserve">Monitorar: Hemograma, função hepática e erenal em uso a longo prazo</t>
  </si>
  <si>
    <t xml:space="preserve">Glifage 500mg comprimido</t>
  </si>
  <si>
    <t>Metformina</t>
  </si>
  <si>
    <t xml:space="preserve">Antidiabético Oral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</si>
  <si>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Diarreia, anorexia, paladar metalico, nauseas, nauseas, vomito, flatulencia, diarreia, paladar metalico. Precaução: Evitar alcool (↑risco de acidose láctica), não usar na lactação, não usar c/função hepática ou renal (creat sérica &gt;1,5 p/homens, 1,4-p/mulheres ou clearance de creat anormal)</t>
    </r>
  </si>
  <si>
    <t xml:space="preserve">↓glicose, ↓HbA1, ↓Col, ↓LDL, ↓Tg, ↑HDL, ↓folato e vit B1 c/uso a longo prazo</t>
  </si>
  <si>
    <t xml:space="preserve">Monitorar: glicemia e HbA1, Vit B12, folato, função renal. Hemograma </t>
  </si>
  <si>
    <t xml:space="preserve">Dieta para diabetes, ↓cal se necessária perda de peso</t>
  </si>
  <si>
    <t xml:space="preserve">Tomar c/ as refeições para ↓desconforto GI. Potencializa o efeito da insulina, ↓abs de glicose, ↓ produção de glicose hepática</t>
  </si>
  <si>
    <t xml:space="preserve">Glifage 850mg comprimido</t>
  </si>
  <si>
    <t xml:space="preserve">Methergin ampola</t>
  </si>
  <si>
    <t>Metilergometrina</t>
  </si>
  <si>
    <t xml:space="preserve">Estimulante Uterino</t>
  </si>
  <si>
    <t xml:space="preserve">Solumedrol 125mg frasco</t>
  </si>
  <si>
    <t>Metilprednisolona</t>
  </si>
  <si>
    <t xml:space="preserve">Solumedrol 500mg frasco</t>
  </si>
  <si>
    <t xml:space="preserve">Plasil 10mg/2ml ampola,</t>
  </si>
  <si>
    <t>Metoclpramida</t>
  </si>
  <si>
    <t xml:space="preserve">Antiemético e procinético</t>
  </si>
  <si>
    <r>
      <rPr>
        <b/>
        <sz val="11"/>
        <color theme="0" tint="-0.499984740745262"/>
        <rFont val="Century Gothic"/>
      </rPr>
      <t xml:space="preserve">Pode causa</t>
    </r>
    <r>
      <rPr>
        <sz val="11"/>
        <color theme="0" tint="-0.499984740745262"/>
        <rFont val="Century Gothic"/>
      </rPr>
      <t xml:space="preserve">r: Boca seca, ↑esvaziamento gástrico, nauseas, diarreia, obstipação.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:Alcool (↑efeitos do alcool), lactação, diabetes (pode alterar os requerimentos de insulina), ↓função renal</t>
    </r>
  </si>
  <si>
    <t xml:space="preserve">↑prolactina. Transitorio: ↑aldosterona</t>
  </si>
  <si>
    <t xml:space="preserve">Tomar 1/2 h antes das refeições e ao deitar</t>
  </si>
  <si>
    <t xml:space="preserve">Plasil 10mg comprimido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</si>
  <si>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↑esvaziamento gástrico, nauseas, diarreia, obstipação.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:Alcool (↑efeitos do alcool), lactação, diabetes (pode alterar os requerimentos de insulina), ↓função renal</t>
    </r>
  </si>
  <si>
    <t xml:space="preserve">Plasil gotasl frasco 10ml)</t>
  </si>
  <si>
    <t xml:space="preserve">Seloken 100mg comprimido </t>
  </si>
  <si>
    <t>Metoprolol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</si>
  <si>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naúseas, dispepsia, flatulência, diarréia, obstipação.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diabetes(pode mascarar sinais de hipoglicemia  </t>
    </r>
  </si>
  <si>
    <t xml:space="preserve">↑TGO, ↑TGP, ↑fosf alc, ↑LD, ↑Tg,↑ác úrico.</t>
  </si>
  <si>
    <t xml:space="preserve">Tomar c/alimento p/↑biodisponibilidade</t>
  </si>
  <si>
    <t xml:space="preserve">↓Na, ↓Cal,pode ser recomendada</t>
  </si>
  <si>
    <t xml:space="preserve">Tomar c/alimentos p/↑ biodisponibilidade. </t>
  </si>
  <si>
    <t xml:space="preserve">Seloken 5mg/5ml ampola)</t>
  </si>
  <si>
    <t xml:space="preserve">Flagyl bolsa 500mg/100ml</t>
  </si>
  <si>
    <t>Metronidazol</t>
  </si>
  <si>
    <t>Antiparasitário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</si>
  <si>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Paladar metalico, nauseas, vomito, desconforto epigástrico, boca seca, estomatite, diarreia,obstipação.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qualquer  alcool durante o uso e por 3 dias após reação semelhante ao dissulfiram. Não usar na lactação↑risco de problemas dentários,   </t>
    </r>
  </si>
  <si>
    <t xml:space="preserve">Leve ↓leuc. Falso ↓TGO, ↓TGP, ↓LD, ↓Tg, ↓glicose c/alguns ensaios</t>
  </si>
  <si>
    <t xml:space="preserve">Monitorar: Hemograma </t>
  </si>
  <si>
    <t xml:space="preserve">Flagyl 250mg e 400mg comprimido</t>
  </si>
  <si>
    <t xml:space="preserve">Dormonid 15mg/3 ml</t>
  </si>
  <si>
    <t>Midazolan</t>
  </si>
  <si>
    <t xml:space="preserve">Não ingestão de toranja</t>
  </si>
  <si>
    <t xml:space="preserve">Dormonid 50mg/10ml </t>
  </si>
  <si>
    <t xml:space="preserve">Dormonid 5mg/5ml</t>
  </si>
  <si>
    <t xml:space="preserve">Dormonid 15mg comprimido</t>
  </si>
  <si>
    <t xml:space="preserve">Remeron soltab 15mg</t>
  </si>
  <si>
    <t>Mirtazapina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</si>
  <si>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↑ apetite,↑peso, ↑sede, anorexia, boca seca, nauseas, vomito, dor abominal </t>
    </r>
  </si>
  <si>
    <t xml:space="preserve"> ↑Col,  ↑ TGP,  ↑TGO. Urina:  ↑frequencia </t>
  </si>
  <si>
    <t xml:space="preserve">Prostokos 200mcg</t>
  </si>
  <si>
    <t>Misoprostol</t>
  </si>
  <si>
    <t>Prostaglandinas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</si>
  <si>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diarreia, vomitos, dor abdominal, flatulencia        Precaução: Não usar na lactação</t>
    </r>
  </si>
  <si>
    <t xml:space="preserve">Precaução c/antiácido/suplementos de Mg: ↑risco de diarreia </t>
  </si>
  <si>
    <t xml:space="preserve">Tomar c/refeições e ao deitar</t>
  </si>
  <si>
    <t xml:space="preserve">Prostokos 25 mcg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</si>
  <si>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diarreia, vomitos, dor abdominal, flatulencia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na lactação</t>
    </r>
  </si>
  <si>
    <t xml:space="preserve">Dimorf  10mg comp </t>
  </si>
  <si>
    <t>Morfina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</si>
  <si>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↓motilidade gástrica, nauseas, vomito, obstipação. Dor intensa, sedação pré- operatória, adjunto da anestesia. Cardiovascular- Diminuição dos batimentos cardíacos, queda de pressão arterial.
Gastrointestinal- Constipação, náusea, vomito.
Sistema nervoso central- Confusão mental, febre, pesadelos, sensação de queda iminente, sonolência , tontura.
Efeitos adversos: Miose, Bradicardia
(vagal), Hipotensão ortostática, Histaminoliberação,
Depressão respiratória (tardia,
após injeção espinhal), Náuseas, vômitos,
íleo, espasmo vias biliares, retenção
urinária, Efeito prolongado em insuficiência renal.
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alcool, não usar na lactação. Pode causar dependencia em uso a longo prazo, ↓ função hepática, renal ou doença respiratoria grave</t>
    </r>
  </si>
  <si>
    <t xml:space="preserve">Dimorf 10mg/ml – 1ml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</si>
  <si>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↓motilidade gástrica, nauseas, vomito, obstipação.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alcool, não usar na lactação. Pode causar dependencia em uso a longo prazo, ↓ função hepática, renal ou doença respiratoria grave</t>
    </r>
  </si>
  <si>
    <t xml:space="preserve">Dimorf sp 0,2mg amp 1ml</t>
  </si>
  <si>
    <t xml:space="preserve">Dimorf sp 2mg amp 2ml)</t>
  </si>
  <si>
    <t xml:space="preserve">Avalox 400mg bolsa 250ml</t>
  </si>
  <si>
    <t>Moxifloxaxino</t>
  </si>
  <si>
    <t xml:space="preserve">Nubain 10mg ampola 1ml</t>
  </si>
  <si>
    <t>Nalbufina</t>
  </si>
  <si>
    <t xml:space="preserve">Analgésico narcótico</t>
  </si>
  <si>
    <t xml:space="preserve">Narcan 0,4mg 1ml</t>
  </si>
  <si>
    <t>Naloxona</t>
  </si>
  <si>
    <t xml:space="preserve">Prostigmine 0,5 mg injetável </t>
  </si>
  <si>
    <t>Neostigmina</t>
  </si>
  <si>
    <t xml:space="preserve">Antídotos, quelantes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</si>
  <si>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diarreia.
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alcool.</t>
    </r>
  </si>
  <si>
    <t xml:space="preserve">Adalat retard 20mg comprimido</t>
  </si>
  <si>
    <t>Nifedipino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</si>
  <si>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Garganta inflamada, náuseas, dispseia, obstipação, flatulencia.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:Evitar alcool, não usar na lactação, ↓função hepática</t>
    </r>
  </si>
  <si>
    <t xml:space="preserve">↑TGO,↑TGP, ↑fosf alc, ↑LD</t>
  </si>
  <si>
    <r>
      <rPr>
        <b/>
        <sz val="11"/>
        <color theme="0" tint="-0.499984740745262"/>
        <rFont val="Century Gothic"/>
      </rPr>
      <t>Monitorar</t>
    </r>
    <r>
      <rPr>
        <sz val="11"/>
        <color theme="0" tint="-0.499984740745262"/>
        <rFont val="Century Gothic"/>
      </rPr>
      <t xml:space="preserve">: PA</t>
    </r>
  </si>
  <si>
    <r>
      <rPr>
        <b/>
        <sz val="11"/>
        <color theme="0" tint="-0.499984740745262"/>
        <rFont val="Century Gothic"/>
      </rPr>
      <t xml:space="preserve">Com o consumo de Toranja</t>
    </r>
    <r>
      <rPr>
        <sz val="11"/>
        <color theme="0" tint="-0.499984740745262"/>
        <rFont val="Century Gothic"/>
      </rPr>
      <t xml:space="preserve"> = Aumento da absorção                                                  </t>
    </r>
    <r>
      <rPr>
        <b/>
        <sz val="11"/>
        <color theme="0" tint="-0.499984740745262"/>
        <rFont val="Century Gothic"/>
      </rPr>
      <t xml:space="preserve">Com alimentos hiperlípidicos</t>
    </r>
    <r>
      <rPr>
        <sz val="11"/>
        <color theme="0" tint="-0.499984740745262"/>
        <rFont val="Century Gothic"/>
      </rPr>
      <t xml:space="preserve"> = Aumento da velocidade do fármaco podendo levar a cefaleia e tonturas</t>
    </r>
  </si>
  <si>
    <t xml:space="preserve">Não ingerir de toranja</t>
  </si>
  <si>
    <t xml:space="preserve">Tridil 50 mg/10ml ampola</t>
  </si>
  <si>
    <t>Nitroglicerina</t>
  </si>
  <si>
    <t>Antianginoso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</si>
  <si>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nauseas, vomito, dor abdominal.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alcool, lactação </t>
    </r>
  </si>
  <si>
    <t xml:space="preserve">PA e taxa cardíaca</t>
  </si>
  <si>
    <t xml:space="preserve">Nipride 50mg frasco</t>
  </si>
  <si>
    <t xml:space="preserve">Nitroprussiato de Sódio</t>
  </si>
  <si>
    <t xml:space="preserve">Levophed 2mg/ml ampola 4ml</t>
  </si>
  <si>
    <t>Norepinefrina</t>
  </si>
  <si>
    <t xml:space="preserve">Syntocinon 5UI)</t>
  </si>
  <si>
    <t>Ocitocina</t>
  </si>
  <si>
    <t xml:space="preserve">Hormônio hipotalâmico</t>
  </si>
  <si>
    <t xml:space="preserve">Sandostatin 0,1 mg/ml </t>
  </si>
  <si>
    <t>Octreotida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</si>
  <si>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Nauseas, vomito, dor abdominal Precaução: Evitar alcool  (possivel reação semelhante dissulfiram. Não usar na lactação, c/acloridria (deve ser tomado c/liquido ácido), ↓função hepatica.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na lactação, diabetes(↑ou↓ glicemia, c/↓ função renal grave</t>
    </r>
  </si>
  <si>
    <t xml:space="preserve">↓T3, hiperglicemia, hipoglicemia, ↓vit B12</t>
  </si>
  <si>
    <r>
      <rPr>
        <b/>
        <sz val="11"/>
        <color theme="0" tint="-0.499984740745262"/>
        <rFont val="Century Gothic"/>
      </rPr>
      <t>Monitorar</t>
    </r>
    <r>
      <rPr>
        <sz val="11"/>
        <color theme="0" tint="-0.499984740745262"/>
        <rFont val="Century Gothic"/>
      </rPr>
      <t xml:space="preserve">: glicemia . Em uso: vesícula biliar c/ultrasom, gordura fecal de 72 horas e caroteno, função da tireoíde, vit B12 </t>
    </r>
  </si>
  <si>
    <t xml:space="preserve"> ↓gordura pode ↓efeitos colaterais GI</t>
  </si>
  <si>
    <t xml:space="preserve">Administrar entre refeições e ao deitar p/↓efeitos GI</t>
  </si>
  <si>
    <t xml:space="preserve">Sandostatin 0,5mg/ml</t>
  </si>
  <si>
    <t xml:space="preserve">Oleo Mineral 100ml</t>
  </si>
  <si>
    <t>Laxante/emoliente</t>
  </si>
  <si>
    <t xml:space="preserve">Má absorção e perda fecal de caroteno e vitaminas ADEK</t>
  </si>
  <si>
    <t xml:space="preserve">Diminui a absorção de Caroteno, Vitamina A, D e K</t>
  </si>
  <si>
    <t xml:space="preserve">Interação com todo medicamento administrado por via oral.
</t>
  </si>
  <si>
    <t xml:space="preserve">Aconselhado intervalo de no minimo 6horas entre a admisnistração do Oleo e o medicamento para que o mesmo não tehha a absorção prejudicada.</t>
  </si>
  <si>
    <t xml:space="preserve">Losec40mg injetável</t>
  </si>
  <si>
    <t>Omeprazol</t>
  </si>
  <si>
    <t xml:space="preserve">Redutor de acidez gástrica</t>
  </si>
  <si>
    <t xml:space="preserve">Pode causar: ↓secreção de ácido gástrico, ↑pH gástrico, naúseas, dor abdominal, diarreia. Precaução: c/↓função hepática</t>
  </si>
  <si>
    <t xml:space="preserve">↑gastrina, possivel ↓B12</t>
  </si>
  <si>
    <r>
      <rPr>
        <b/>
        <sz val="11"/>
        <color theme="0" tint="-0.499984740745262"/>
        <rFont val="Century Gothic"/>
      </rPr>
      <t xml:space="preserve">Com alimento/NE </t>
    </r>
    <r>
      <rPr>
        <sz val="11"/>
        <color theme="0" tint="-0.499984740745262"/>
        <rFont val="Century Gothic"/>
      </rPr>
      <t xml:space="preserve">= diminuição da absorção do omeprazol</t>
    </r>
  </si>
  <si>
    <t xml:space="preserve">Pode ↓abs de Fe, ↓abs de vit B12</t>
  </si>
  <si>
    <t xml:space="preserve"> Deve ser administrado com( estômago vazio, de preferência em jejum ou 30-60 minutos antes de uma refeição</t>
  </si>
  <si>
    <t xml:space="preserve">Losec 20mg comprimido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</si>
  <si>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↓secreção de ácido gástrico, ↑pH gástrico, naúseas, dor abdominal, diarreia.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c/↓função hepática</t>
    </r>
  </si>
  <si>
    <t xml:space="preserve">Zofran 4mg/2ml</t>
  </si>
  <si>
    <t>Ondansetrona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</si>
  <si>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dor abdominal, obstipação, diarreia, cefaleia, fadiga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↓função hepática</t>
    </r>
  </si>
  <si>
    <r>
      <t xml:space="preserve">↑TGO, ↑TGP, ↑bil.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Retenção </t>
    </r>
  </si>
  <si>
    <t xml:space="preserve">Tomar 1/2 hora antes da quimioterapia</t>
  </si>
  <si>
    <t xml:space="preserve">Zofran 8mg/4ml </t>
  </si>
  <si>
    <t xml:space="preserve">Zofran 8mg comprimido) </t>
  </si>
  <si>
    <t xml:space="preserve">Staficilin 500mg frasco</t>
  </si>
  <si>
    <t>Oxaxilina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</si>
  <si>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Naúseas, vomito, diarreia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:Não usar na lactação</t>
    </r>
  </si>
  <si>
    <t xml:space="preserve">Discrasias, eosinofilia, ↑ureia, ↑creat </t>
  </si>
  <si>
    <r>
      <rPr>
        <b/>
        <sz val="11"/>
        <color theme="0" tint="-0.499984740745262"/>
        <rFont val="Century Gothic"/>
      </rPr>
      <t>Monitorar</t>
    </r>
    <r>
      <rPr>
        <sz val="11"/>
        <color theme="0" tint="-0.499984740745262"/>
        <rFont val="Century Gothic"/>
      </rPr>
      <t xml:space="preserve">: Hemograma, urinálise, função hepática e renal </t>
    </r>
  </si>
  <si>
    <t xml:space="preserve">Trileptal 300mg comprimido</t>
  </si>
  <si>
    <t>Oxcarbazepina</t>
  </si>
  <si>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c/↓função renal</t>
    </r>
  </si>
  <si>
    <t xml:space="preserve">Restringir  liquidos se ocorrer hiponatremia</t>
  </si>
  <si>
    <t xml:space="preserve">Tomar sem considerar a alimentação</t>
  </si>
  <si>
    <t xml:space="preserve">Afrin infantil e adulto frasco aerosol</t>
  </si>
  <si>
    <t>Oximetazolina</t>
  </si>
  <si>
    <t xml:space="preserve">Descongestionante nasal</t>
  </si>
  <si>
    <t xml:space="preserve">Pantozol 20mg comprimido</t>
  </si>
  <si>
    <t>Pantoprazol</t>
  </si>
  <si>
    <t xml:space="preserve">Pantozol 40mg comprimido</t>
  </si>
  <si>
    <t xml:space="preserve">Pantozol 40mg Endovenoso</t>
  </si>
  <si>
    <r>
      <rPr>
        <b/>
        <sz val="11"/>
        <color theme="0" tint="-0.499984740745262"/>
        <rFont val="Century Gothic"/>
      </rPr>
      <t xml:space="preserve">Com alimento/NE </t>
    </r>
    <r>
      <rPr>
        <sz val="11"/>
        <color theme="0" tint="-0.499984740745262"/>
        <rFont val="Century Gothic"/>
      </rPr>
      <t xml:space="preserve">= diminuição da absorção do pantoprazol</t>
    </r>
  </si>
  <si>
    <t xml:space="preserve">Tylenol 750mg comprimido</t>
  </si>
  <si>
    <t>Paracetamol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</si>
  <si>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CacO ou MgOH pode anular efeito das enzimas. Pode ↓resposta  à suplementação oral de Fe.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 ou limitar p/2doses/dia. Em alcoolicos crônicos: não exceder 2g/dia devido ↑ risco de hepatoxicidade</t>
    </r>
  </si>
  <si>
    <r>
      <t xml:space="preserve">Anemia hemolítica, ↓leuc, ↑bil, ↑bil, ↑LD, ↑TGO, ↑TGP. Falsa ↓ou ↑glicose c/método da glicose oxidase/peroxidase.                       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Falsa ↓glicose c/glicofitas</t>
    </r>
  </si>
  <si>
    <t xml:space="preserve">Pode tomar s/ considerar alimentação</t>
  </si>
  <si>
    <t xml:space="preserve">Tylenol gotas</t>
  </si>
  <si>
    <t xml:space="preserve">Pondera 20mg comprimido</t>
  </si>
  <si>
    <t>Paroxetina</t>
  </si>
  <si>
    <r>
      <rPr>
        <b/>
        <sz val="11"/>
        <color theme="0" tint="-0.499984740745262"/>
        <rFont val="Century Gothic"/>
      </rPr>
      <t xml:space="preserve">Pode causa</t>
    </r>
    <r>
      <rPr>
        <sz val="11"/>
        <color theme="0" tint="-0.499984740745262"/>
        <rFont val="Century Gothic"/>
      </rPr>
      <t xml:space="preserve">r: ↑ou↓apetite e peso, boca seca, alterações no paladar, nauseas, dispesia, obstipação, diarreia, flatulencia. Precaução: Evitar alcool, lactação, idosos (↑conc do fármaco), ↓função hepática grave ou renal)  </t>
    </r>
  </si>
  <si>
    <r>
      <t xml:space="preserve">↓Hb, ↓Hct, ↓Leuc.     </t>
    </r>
    <r>
      <rPr>
        <b/>
        <sz val="11"/>
        <color theme="0" tint="-0.499984740745262"/>
        <rFont val="Century Gothic"/>
      </rPr>
      <t xml:space="preserve">Urina: </t>
    </r>
    <r>
      <rPr>
        <sz val="11"/>
        <color theme="0" tint="-0.499984740745262"/>
        <rFont val="Century Gothic"/>
      </rPr>
      <t xml:space="preserve">↑frequencia </t>
    </r>
  </si>
  <si>
    <t xml:space="preserve">Não usar suplementos de triptofano. Evitar erva de são joão</t>
  </si>
  <si>
    <t xml:space="preserve">Tomar s/considerar  alimentação </t>
  </si>
  <si>
    <t xml:space="preserve">Tazocin 4,5g injetável</t>
  </si>
  <si>
    <t>Piperaciclina+tazobactan</t>
  </si>
  <si>
    <t xml:space="preserve">Sorcal pó envelope 30g</t>
  </si>
  <si>
    <t xml:space="preserve">Poliestireno Sulfonato de Cálcio</t>
  </si>
  <si>
    <t xml:space="preserve">Resina de troca Iônica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</si>
  <si>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Anorexia, nauseas, obstipação, irritação gástrica, impactação fecal especialmente em idosos em idosos, diarreia.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 Lactação, ICC</t>
    </r>
  </si>
  <si>
    <t xml:space="preserve">↓K, ↓Mg, ↓Na, ↓Ca, </t>
  </si>
  <si>
    <t xml:space="preserve">Monitorar: eletrólitos, Mg e Ca </t>
  </si>
  <si>
    <t xml:space="preserve">conteúdo de Na c/dieta ↓Na, evitar suplemento K, ↓K. Tomar suplementos de Ca, Mg ou antiácidos separademente por várias horas.</t>
  </si>
  <si>
    <t xml:space="preserve">Bedfortdpoly B 500.000 Ui</t>
  </si>
  <si>
    <t xml:space="preserve">Polimixina B</t>
  </si>
  <si>
    <t xml:space="preserve">Citoneurin 5000 injetavel</t>
  </si>
  <si>
    <t xml:space="preserve">Polivitaminico sem minerais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</si>
  <si>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↑ingestão de cal, ↑necessidade de tiamina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álcool inibe abs, alcoolismo ↑ risco de def. Sintomas de def: anorexia, ↓peso, confusão, irritibalidade, ↓ memória curta, apatia, fraqueza, cardiomegalia</t>
    </r>
  </si>
  <si>
    <t xml:space="preserve">Meticorten 5mg comprimido </t>
  </si>
  <si>
    <t>Prednisona</t>
  </si>
  <si>
    <t xml:space="preserve">Meticorten 20mg comprimido)</t>
  </si>
  <si>
    <t xml:space="preserve">Fenergan 25mg comprimido </t>
  </si>
  <si>
    <t>Prometazina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</si>
  <si>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alteração de paladar,  naúseas, vômito, obstipação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↓função hepática ou cardiovascular, epilepsia, ↑problemas dentários </t>
    </r>
  </si>
  <si>
    <r>
      <t xml:space="preserve">↑Glicose                       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↑riboflavina</t>
    </r>
  </si>
  <si>
    <t xml:space="preserve">Tomar c/refeições e ao deitar c/ 1copo de água ou leite p/↓irritação GI</t>
  </si>
  <si>
    <t xml:space="preserve">Fenergan 50mg/2ml injetáve</t>
  </si>
  <si>
    <t xml:space="preserve">Ritmonorm 300mg comprimido</t>
  </si>
  <si>
    <t>Propafenona</t>
  </si>
  <si>
    <t xml:space="preserve">Sustrate 10mg comprimido</t>
  </si>
  <si>
    <t>Propatilnitrato</t>
  </si>
  <si>
    <t xml:space="preserve">Diprivan 1% 20ml</t>
  </si>
  <si>
    <t>Propofol</t>
  </si>
  <si>
    <t xml:space="preserve">Anestésico não opioide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</si>
  <si>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Cardiovascular- Pressão baixa.
Sistema nervoso central- Movimentos corporais.               Reações locais- Dor, queimação no local da injeção, sensação de agulhadas.
Respiratório- Apnéia, acidose respiratória.
Endócrino- Aumento de triglicérides no sangue.
</t>
    </r>
  </si>
  <si>
    <t xml:space="preserve">Diprivan 1% PFS</t>
  </si>
  <si>
    <t xml:space="preserve">Diprivan 2% PFS</t>
  </si>
  <si>
    <t xml:space="preserve">Diprivan 2% fr 50ml)</t>
  </si>
  <si>
    <t xml:space="preserve">Seroquel 25mg comprimido</t>
  </si>
  <si>
    <t>Quetiapina</t>
  </si>
  <si>
    <t>Neuroléptico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</si>
  <si>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boca seca, dispepsia, dor abdominal,obstipação, dor nas costas, febre, rubor, rinite, dor de ouvido, taquicardia.                 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Geriatria, ↓função hepática</t>
    </r>
  </si>
  <si>
    <t xml:space="preserve">↓T4, ↑Col,↑Tg, ↑transitorio de TGO, ↑TGP, ↓leuc</t>
  </si>
  <si>
    <t xml:space="preserve">Monitorar: Exame ocular p/catarata</t>
  </si>
  <si>
    <t xml:space="preserve">Alimento ↑biodisponibilidade em 15-25%</t>
  </si>
  <si>
    <t xml:space="preserve">Tomar sem consideração alimentação</t>
  </si>
  <si>
    <t xml:space="preserve">Tiorfan 100mg comprimido</t>
  </si>
  <si>
    <t>Racecadotril</t>
  </si>
  <si>
    <t>Antidiarréico</t>
  </si>
  <si>
    <t xml:space="preserve">Antak 150mg comprimido</t>
  </si>
  <si>
    <t>Ranitidina</t>
  </si>
  <si>
    <t xml:space="preserve">Redutor da acidez gástrica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</si>
  <si>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↓secreções ácidas gástricas, ↑pH gástrico, nauseas, vomito, diarreia, obstipação. Precaução: Evitar álcool, não usar na lactação, ↓ função hepática ou renal. </t>
    </r>
  </si>
  <si>
    <r>
      <t xml:space="preserve">↑TGO, ↑TGP, ↑fosf alc, ↑LD, ↑Tg, ↑P, ↑CPK, ↑Glicose, anemia, ↓leuc.               </t>
    </r>
    <r>
      <rPr>
        <b/>
        <sz val="11"/>
        <color theme="0" tint="-0.499984740745262"/>
        <rFont val="Century Gothic"/>
      </rPr>
      <t>Urina:</t>
    </r>
    <r>
      <rPr>
        <sz val="11"/>
        <color theme="0" tint="-0.499984740745262"/>
        <rFont val="Century Gothic"/>
      </rPr>
      <t xml:space="preserve"> Alb, glicose</t>
    </r>
  </si>
  <si>
    <t xml:space="preserve">Diabetes, peso, composição corporal, carga viral</t>
  </si>
  <si>
    <t xml:space="preserve">Evitar ou limitar o fumo</t>
  </si>
  <si>
    <t xml:space="preserve">Dieta Branda pode ser recomendada. Tomar fármaco pelo menos 2 horas após suplemento . Tomar suplemento de Mg ou antiácido c/ Al/ Mg c/intervalo de pelo menos 2 horas. Limitar cafeína/xantina </t>
  </si>
  <si>
    <t xml:space="preserve">Tomar sem considerar a alimentação. Tomar na hora de dormir se 1x/dia</t>
  </si>
  <si>
    <t xml:space="preserve">Antak 50mg/2ml ampola</t>
  </si>
  <si>
    <t xml:space="preserve">Ultiva 1mg frasco-ampola</t>
  </si>
  <si>
    <t>Remifentanil</t>
  </si>
  <si>
    <t xml:space="preserve">Anestésico opióide</t>
  </si>
  <si>
    <t xml:space="preserve">Risperdal 2mg comprimido</t>
  </si>
  <si>
    <t>Risperidona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</si>
  <si>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↑apetite, ↑peso, ↑ou ↓ salivação, nauseas, vomitos, dispesia, obstipação, diarreia. Precaução: Evitar alcool,lactação, c/↓função hepática ou renal </t>
    </r>
  </si>
  <si>
    <t xml:space="preserve">↑prolactina </t>
  </si>
  <si>
    <t xml:space="preserve">Exelon 3mg comprimido</t>
  </si>
  <si>
    <t>Rivastigmina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</si>
  <si>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Anorexia, ↓peso, nauseas, vomito, dispepsia, dor abdominal, diarreia, obstipação, flatulencia.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epilepsia, úlcera péptica: fármaco pode ↑secreção do ácido gástrico</t>
    </r>
  </si>
  <si>
    <r>
      <t xml:space="preserve">Anemia.                   </t>
    </r>
    <r>
      <rPr>
        <b/>
        <sz val="11"/>
        <color theme="0" tint="-0.499984740745262"/>
        <rFont val="Century Gothic"/>
      </rPr>
      <t>Urina</t>
    </r>
    <r>
      <rPr>
        <sz val="11"/>
        <color theme="0" tint="-0.499984740745262"/>
        <rFont val="Century Gothic"/>
      </rPr>
      <t xml:space="preserve">: Hematúria </t>
    </r>
  </si>
  <si>
    <t xml:space="preserve">Tomar 2x/dia c/alimento. Engolir a solução diretamente  ou misturar c/1 copo pequeno de água, suco de fruta</t>
  </si>
  <si>
    <t xml:space="preserve">Esmeron 50mg frasco-ampola</t>
  </si>
  <si>
    <t>Rocurônio</t>
  </si>
  <si>
    <t xml:space="preserve">Bloqueador Neuromuscular</t>
  </si>
  <si>
    <t xml:space="preserve">Naropin 10,0mg ampola</t>
  </si>
  <si>
    <t>Ropivacaína</t>
  </si>
  <si>
    <t xml:space="preserve">Anestésico local</t>
  </si>
  <si>
    <t xml:space="preserve">Crestor 10mg comprimido</t>
  </si>
  <si>
    <t>Rosuvastatina</t>
  </si>
  <si>
    <t>Hipolidêmico</t>
  </si>
  <si>
    <t xml:space="preserve">Floratil 100mg comprimidos)</t>
  </si>
  <si>
    <t xml:space="preserve">Sacharomyces Boulardii (</t>
  </si>
  <si>
    <t xml:space="preserve">Aerolin 100mcg spray</t>
  </si>
  <si>
    <t>Salbutamol</t>
  </si>
  <si>
    <r>
      <rPr>
        <b/>
        <sz val="11"/>
        <color theme="0" tint="-0.499984740745262"/>
        <rFont val="Century Gothic"/>
      </rPr>
      <t xml:space="preserve">Pode casusar</t>
    </r>
    <r>
      <rPr>
        <sz val="11"/>
        <color theme="0" tint="-0.499984740745262"/>
        <rFont val="Century Gothic"/>
      </rPr>
      <t xml:space="preserve">: Garganta inflamada/seca, nauseas, vomito, paladar característico, dispesia, diarreia.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Não usar na lactação, HÁ, diabetes (↑glicemia)</t>
    </r>
  </si>
  <si>
    <t xml:space="preserve">↓K, ↑glicose</t>
  </si>
  <si>
    <t xml:space="preserve">Limitar cafeína/xantina</t>
  </si>
  <si>
    <t xml:space="preserve">Tomar com alimento em caso de desconforto</t>
  </si>
  <si>
    <t xml:space="preserve">Aerolin 0,5mg ampola</t>
  </si>
  <si>
    <t xml:space="preserve">Zoloft 50mg comprimido</t>
  </si>
  <si>
    <t>Sertralina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</si>
  <si>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Anorexia, boca seca, nauseas, vomito, dispepsia, diarreia, obstipação. Precaução: Evitar </t>
    </r>
  </si>
  <si>
    <t xml:space="preserve">Levemente: ↑col e Tg, ↓ác úrico, ↑TSH </t>
  </si>
  <si>
    <t xml:space="preserve">Tomar s/considerar alimentação (alimento ↑abs). Diluir concentrado em 150 ml de água, limonada, ou sudo de laranja (não usar c/outros liquidos)</t>
  </si>
  <si>
    <t xml:space="preserve">Sevorane frasco</t>
  </si>
  <si>
    <t>Sevoflurano</t>
  </si>
  <si>
    <t xml:space="preserve">Anestésico Inalatório</t>
  </si>
  <si>
    <t xml:space="preserve">Viagra 100mg comprimidos</t>
  </si>
  <si>
    <t>Sildenafila</t>
  </si>
  <si>
    <t xml:space="preserve">Vasodilatador, Inibidor de Fosfodiesterase</t>
  </si>
  <si>
    <t xml:space="preserve">Zocor  20mg comprimido)</t>
  </si>
  <si>
    <t>Sinvastatina</t>
  </si>
  <si>
    <t>Hipolipidêmico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</si>
  <si>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Dispesia, obstipação. Precaução: c/↓função hepática ou renal</t>
    </r>
  </si>
  <si>
    <t xml:space="preserve">↓col, ↓LDL, ↓VLDL, ↑Tg, ↓coenzima Q10. Transitório:↑TGO, ↑TGP, ↑CPK</t>
  </si>
  <si>
    <t xml:space="preserve">Monitorar: Perfil lipídico, função hepática, CPK, possivelmente coenzima  Q10</t>
  </si>
  <si>
    <t xml:space="preserve">↓gordura, ↓col, ↓cal, se necessário perda de peso. Não usar c/doses elevadas de niacina: possivel miopatia</t>
  </si>
  <si>
    <t xml:space="preserve">Tomar sem considerar a alimentação. Tomar dose única ao deitar </t>
  </si>
  <si>
    <t xml:space="preserve">Dipeptiven 20% frasco</t>
  </si>
  <si>
    <t xml:space="preserve">Solução de Aminoácido com glutamina</t>
  </si>
  <si>
    <t>Aminoácidos</t>
  </si>
  <si>
    <t xml:space="preserve">Sufenta Espinhal 5mcg/ml ampola</t>
  </si>
  <si>
    <t>Sufentanila</t>
  </si>
  <si>
    <t xml:space="preserve">Unasyn 1,5 g frasco-ampola</t>
  </si>
  <si>
    <t>Sulbactam+Ampicilina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</si>
  <si>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glossite, estomatite, candidíase oral em uso a longo prazo, nauseas, vomito, colite pseudomembranosa, diarreia.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função renal</t>
    </r>
  </si>
  <si>
    <r>
      <t xml:space="preserve">Discrasias, anemia,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TGO,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TGP,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fosf alc,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 LD,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alb,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TP,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ureia,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creat. Urina: falso + p/glicose </t>
    </r>
  </si>
  <si>
    <t xml:space="preserve">Monitorar: Uso a longo prazo: Hemograma, função renal e hepática </t>
  </si>
  <si>
    <t xml:space="preserve">Unasyn 3,0g frasco-ampola)</t>
  </si>
  <si>
    <t xml:space="preserve">Bactrim 400+800mg comprimido </t>
  </si>
  <si>
    <t xml:space="preserve">Sulfametoxazol+ Trimetoprima</t>
  </si>
  <si>
    <r>
      <t xml:space="preserve">Pode causar: estomatite, glossite, nauseas, vomito, diarreia.        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 c/sulfoniluréias (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glicemia), não usar em anemia megaloblástica devido de folato, c/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função hepática ou renal </t>
    </r>
  </si>
  <si>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TGO, ↑TGP, ↑bil, ↑ureia, ↑creat,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folato,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K,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Na. Urina: Cristalúria, cálculos</t>
    </r>
  </si>
  <si>
    <t xml:space="preserve">Monitorar: Hemograma, urinálise, função hepática a longo prazo</t>
  </si>
  <si>
    <t xml:space="preserve">Assegurar ingestão hídrica adequada p/excreção &gt;1,5 l/dia. Pode necessitar suplementos de folato </t>
  </si>
  <si>
    <t xml:space="preserve">Tomar c/alimentos e 1 copo de água</t>
  </si>
  <si>
    <t xml:space="preserve">Bactrin 400+800mg ampola</t>
  </si>
  <si>
    <t xml:space="preserve">Sulfato Magnésio 10 e 50% ampola 10ml</t>
  </si>
  <si>
    <t xml:space="preserve">Sulfato Magnésio</t>
  </si>
  <si>
    <t xml:space="preserve">Repositor e anticonvulsivante</t>
  </si>
  <si>
    <t xml:space="preserve">Targocid 400mg frasco-ampola</t>
  </si>
  <si>
    <t>Teicoplanina</t>
  </si>
  <si>
    <t xml:space="preserve">Tilatil 20mg comprimido</t>
  </si>
  <si>
    <t>Tenoxicam</t>
  </si>
  <si>
    <t xml:space="preserve">Anti-inflamatório  não esteróide</t>
  </si>
  <si>
    <t xml:space="preserve">Tilatil 20mg e 40mg injetável</t>
  </si>
  <si>
    <t xml:space="preserve">Ticlid 250mg comprimido</t>
  </si>
  <si>
    <t>Ticlopidina</t>
  </si>
  <si>
    <t xml:space="preserve">Antiagregante plaquetário</t>
  </si>
  <si>
    <t xml:space="preserve">Tygacil 50mg frasco ampola) </t>
  </si>
  <si>
    <t xml:space="preserve">Tigeciclina 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</si>
  <si>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>Vômito</t>
    </r>
  </si>
  <si>
    <t xml:space="preserve">Tramal 50mg comprimido</t>
  </si>
  <si>
    <t>Tramadol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</si>
  <si>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seca, dispesia, nauseas, vomitos, dor abdominal, obstipação, diarreia, flatulencia.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alcool, não usar na lactação, 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função renal, epilepsia ou cirrose hepática. Pode causar depedenciac/uso a longo prazo.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risco de problemas dentários</t>
    </r>
  </si>
  <si>
    <r>
      <t xml:space="preserve">Urina: ptn, retenção,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frequencia </t>
    </r>
  </si>
  <si>
    <t xml:space="preserve">Tramal100mg ampola </t>
  </si>
  <si>
    <t xml:space="preserve">Tramal 50mg ampola</t>
  </si>
  <si>
    <t xml:space="preserve">Donaren 50mg comprimido</t>
  </si>
  <si>
    <t>Trazodona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</si>
  <si>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↑apetite, ↑ou ↓ peso, paladar desagravel, boca seca, nauseas, vomitos, obstipação  </t>
    </r>
    <r>
      <rPr>
        <b/>
        <sz val="11"/>
        <color theme="0" tint="-0.499984740745262"/>
        <rFont val="Century Gothic"/>
      </rPr>
      <t>Precaução:</t>
    </r>
    <r>
      <rPr>
        <sz val="11"/>
        <color theme="0" tint="-0.499984740745262"/>
        <rFont val="Century Gothic"/>
      </rPr>
      <t xml:space="preserve"> c/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função hepática ou renal </t>
    </r>
  </si>
  <si>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leve  em TGO, TGP, fosf alc</t>
    </r>
  </si>
  <si>
    <r>
      <t xml:space="preserve">Tomae c/alimentos p/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efeitos colaterais</t>
    </r>
  </si>
  <si>
    <t xml:space="preserve">Vastarel MR comprimido</t>
  </si>
  <si>
    <t>Trimetazidina</t>
  </si>
  <si>
    <t xml:space="preserve">Depakote 250mg comprimido</t>
  </si>
  <si>
    <t xml:space="preserve">Divalproato Sódico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</si>
  <si>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 seca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bebida alcoolica </t>
    </r>
  </si>
  <si>
    <t xml:space="preserve">Diovan 80mg comprimidos</t>
  </si>
  <si>
    <t>Valsartan</t>
  </si>
  <si>
    <t>Anti-Hipertensivo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</si>
  <si>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Dispesia, dor abdominal. Precaução: Não usar na lactação, ↓função hepática ou renal</t>
    </r>
  </si>
  <si>
    <t xml:space="preserve">↓ neutrofilos </t>
  </si>
  <si>
    <t xml:space="preserve">Monitorar: PA, função hepática</t>
  </si>
  <si>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Na,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Cal pode ser recomendada</t>
    </r>
  </si>
  <si>
    <t xml:space="preserve">Vancocina 500mg ampola</t>
  </si>
  <si>
    <t>Vancomicina</t>
  </si>
  <si>
    <r>
      <rPr>
        <b/>
        <sz val="11"/>
        <color theme="0" tint="-0.499984740745262"/>
        <rFont val="Century Gothic"/>
      </rPr>
      <t xml:space="preserve">Pode causar: </t>
    </r>
    <r>
      <rPr>
        <sz val="11"/>
        <color theme="0" tint="-0.499984740745262"/>
        <rFont val="Century Gothic"/>
      </rPr>
      <t xml:space="preserve">Paladar amargo, nauseas. </t>
    </r>
    <r>
      <rPr>
        <b/>
        <sz val="11"/>
        <color theme="0" tint="-0.499984740745262"/>
        <rFont val="Century Gothic"/>
      </rPr>
      <t xml:space="preserve">Precaução: </t>
    </r>
    <r>
      <rPr>
        <sz val="11"/>
        <color theme="0" tint="-0.499984740745262"/>
        <rFont val="Century Gothic"/>
      </rPr>
      <t xml:space="preserve">Não usar na lactação, ↓função renal</t>
    </r>
  </si>
  <si>
    <t xml:space="preserve">↓leuc, eosinofilia, ↑ureia , ↑creat</t>
  </si>
  <si>
    <t xml:space="preserve">Monitorar: função renal, urinálise, nivel do farmaco</t>
  </si>
  <si>
    <t xml:space="preserve">Marevan 5mg comprimidos</t>
  </si>
  <si>
    <t>Varfarina</t>
  </si>
  <si>
    <r>
      <rPr>
        <b/>
        <sz val="11"/>
        <color theme="0" tint="-0.499984740745262"/>
        <rFont val="Century Gothic"/>
      </rPr>
      <t xml:space="preserve">Pode causa</t>
    </r>
    <r>
      <rPr>
        <sz val="11"/>
        <color theme="0" tint="-0.499984740745262"/>
        <rFont val="Century Gothic"/>
      </rPr>
      <t xml:space="preserve">r: Nauseas, vomito, cólicas, diarreia.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Alcool: abuso crônico de álcool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metabolismo do fármaco,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função hepática</t>
    </r>
  </si>
  <si>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TP,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fatores de coagulação.  Urina: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Ca </t>
    </r>
  </si>
  <si>
    <t xml:space="preserve">Monitorar: TP, hemograma, função hepática</t>
  </si>
  <si>
    <r>
      <rPr>
        <b/>
        <sz val="11"/>
        <color theme="0" tint="-0.499984740745262"/>
        <rFont val="Century Gothic"/>
      </rPr>
      <t xml:space="preserve">Com alimentos contendo vitamina K</t>
    </r>
    <r>
      <rPr>
        <sz val="11"/>
        <color theme="0" tint="-0.499984740745262"/>
        <rFont val="Century Gothic"/>
      </rPr>
      <t xml:space="preserve"> = diminuição do efeito anticoagulante.          </t>
    </r>
    <r>
      <rPr>
        <b/>
        <sz val="11"/>
        <color theme="0" tint="-0.499984740745262"/>
        <rFont val="Century Gothic"/>
      </rPr>
      <t xml:space="preserve">Com alimentos não  contendo vitamina K</t>
    </r>
    <r>
      <rPr>
        <sz val="11"/>
        <color theme="0" tint="-0.499984740745262"/>
        <rFont val="Century Gothic"/>
      </rPr>
      <t xml:space="preserve"> = Aumento do efeito anticoagulante.                   </t>
    </r>
    <r>
      <rPr>
        <b/>
        <sz val="11"/>
        <color theme="0" tint="-0.499984740745262"/>
        <rFont val="Century Gothic"/>
      </rPr>
      <t xml:space="preserve">Com alimentos ricos em proteína</t>
    </r>
    <r>
      <rPr>
        <sz val="11"/>
        <color theme="0" tint="-0.499984740745262"/>
        <rFont val="Century Gothic"/>
      </rPr>
      <t xml:space="preserve"> = reduz efeito da varfarina.                                              </t>
    </r>
    <r>
      <rPr>
        <b/>
        <sz val="11"/>
        <color theme="0" tint="-0.499984740745262"/>
        <rFont val="Century Gothic"/>
      </rPr>
      <t xml:space="preserve">Com nutrição enteral</t>
    </r>
    <r>
      <rPr>
        <sz val="11"/>
        <color theme="0" tint="-0.499984740745262"/>
        <rFont val="Century Gothic"/>
      </rPr>
      <t xml:space="preserve"> = pode ocorrer resistência à varfarina, mesmo com baixas concentrações de vitamina K.
</t>
    </r>
  </si>
  <si>
    <r>
      <t xml:space="preserve">
Essencial  vitamina K, dieta hipoproteica, evitar doses elevadas de vitamina A e E. precaução c/ vitamina C (</t>
    </r>
    <r>
      <rPr>
        <sz val="11"/>
        <color theme="0" tint="-0.499984740745262"/>
        <rFont val="Calibri"/>
      </rPr>
      <t>≥</t>
    </r>
    <r>
      <rPr>
        <sz val="11"/>
        <color theme="0" tint="-0.499984740745262"/>
        <rFont val="Century Gothic"/>
      </rPr>
      <t xml:space="preserve">5,0 g/dia):pode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abs do farmaco. Maior intervalo entre as nutrições enterais.
</t>
    </r>
  </si>
  <si>
    <t xml:space="preserve">Para pacientes com nutrição enteral, deve-se considerar intervalos longos entre a administração do medicamento e da nutrição."
</t>
  </si>
  <si>
    <t xml:space="preserve">Encrise 20 u/ml injetável</t>
  </si>
  <si>
    <t>Vasopressina</t>
  </si>
  <si>
    <t xml:space="preserve">Hormônio Antidiurético</t>
  </si>
  <si>
    <t xml:space="preserve">Dilacoron 80mg comprimido</t>
  </si>
  <si>
    <t>Verapamil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</si>
  <si>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Dispepsia, naúseas, obstipação.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Evitar ou limitar alcool:fármaco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efeitro do álcool. Não usar na lactação,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 função hepática ou renal </t>
    </r>
  </si>
  <si>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Tgo,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>TGP</t>
    </r>
  </si>
  <si>
    <t xml:space="preserve">Monitorar: PA, pulso, função hepática em uso a longo prazo </t>
  </si>
  <si>
    <r>
      <rPr>
        <b/>
        <sz val="11"/>
        <color theme="0" tint="-0.499984740745262"/>
        <rFont val="Century Gothic"/>
      </rPr>
      <t xml:space="preserve">Com cafeína</t>
    </r>
    <r>
      <rPr>
        <sz val="11"/>
        <color theme="0" tint="-0.499984740745262"/>
        <rFont val="Century Gothic"/>
      </rPr>
      <t xml:space="preserve"> = aumento da concentração sérica da cafeína e estimulação do SNCacentuada.'
</t>
    </r>
  </si>
  <si>
    <t xml:space="preserve">↓Na, ↓Ca pode ser recomendada. Limitar cafeína . Precaução com suplemento de Ca e/ou vitamina D: Hipercalemia ↓efeito do fármaco </t>
  </si>
  <si>
    <t xml:space="preserve">Orientar aprazamento longe das refeições.</t>
  </si>
  <si>
    <t xml:space="preserve">Dilacoron 5mg injetavel</t>
  </si>
  <si>
    <t xml:space="preserve">Bricanyl amp 1ml</t>
  </si>
  <si>
    <t xml:space="preserve">Cloridrato de Terbutalina  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</si>
  <si>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Boca/garganta seca e paladar desagradavel (inalante), nauseas, vomito, dispepsia.                       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diabetes (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glicemia), HA, doença cardiaca, epilepsia, tremor, nervosismo </t>
    </r>
  </si>
  <si>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glicose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k em doses elevadas</t>
    </r>
  </si>
  <si>
    <r>
      <rPr>
        <b/>
        <sz val="11"/>
        <color theme="0" tint="-0.499984740745262"/>
        <rFont val="Century Gothic"/>
      </rPr>
      <t xml:space="preserve">Com alimentos</t>
    </r>
    <r>
      <rPr>
        <sz val="11"/>
        <color theme="0" tint="-0.499984740745262"/>
        <rFont val="Century Gothic"/>
      </rPr>
      <t xml:space="preserve"> =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abs em 33%</t>
    </r>
  </si>
  <si>
    <t xml:space="preserve">Bridion 100mg/ml 2ml</t>
  </si>
  <si>
    <t>Sugamadex</t>
  </si>
  <si>
    <t xml:space="preserve">Bloqueadores Musculares</t>
  </si>
  <si>
    <t xml:space="preserve">Coltrax </t>
  </si>
  <si>
    <t xml:space="preserve">Tiocolquicosideo ampola</t>
  </si>
  <si>
    <t>Diprospan</t>
  </si>
  <si>
    <t xml:space="preserve">Dipropionato de Betametasona + fosfato dissodico de betametasona</t>
  </si>
  <si>
    <t xml:space="preserve">Anti- inflamatório esteroidal</t>
  </si>
  <si>
    <t xml:space="preserve">Glicina 1,5%</t>
  </si>
  <si>
    <t xml:space="preserve">Solução para irrigação</t>
  </si>
  <si>
    <t>Glypressin</t>
  </si>
  <si>
    <t>Terlipressina</t>
  </si>
  <si>
    <t>Anti-hemorrágico</t>
  </si>
  <si>
    <t>Nilperidol</t>
  </si>
  <si>
    <t xml:space="preserve">Citrato de Fentanila + Droperidol</t>
  </si>
  <si>
    <t xml:space="preserve">Analgésico Neuroléptico</t>
  </si>
  <si>
    <t xml:space="preserve">Olcadil 1mg</t>
  </si>
  <si>
    <t>Cloxazolan</t>
  </si>
  <si>
    <t>Ansiolítico</t>
  </si>
  <si>
    <t xml:space="preserve">Oxigen 30mg</t>
  </si>
  <si>
    <t>Nimodipino</t>
  </si>
  <si>
    <t>Quelicin</t>
  </si>
  <si>
    <t xml:space="preserve">Cloreto de Suxametonio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</si>
  <si>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Depressão respiratória/apnéia</t>
    </r>
  </si>
  <si>
    <t xml:space="preserve">Sol. Ringer simples </t>
  </si>
  <si>
    <t xml:space="preserve">cloreto de sódio + cloreto de potássio + cloreto de cálcio diidratado</t>
  </si>
  <si>
    <t xml:space="preserve">Repositor e solução eletrolitica</t>
  </si>
  <si>
    <r>
      <rPr>
        <b/>
        <sz val="11"/>
        <color theme="0" tint="-0.499984740745262"/>
        <rFont val="Century Gothic"/>
      </rPr>
      <t xml:space="preserve">Pode causar:</t>
    </r>
    <r>
      <rPr>
        <sz val="11"/>
        <color theme="0" tint="-0.499984740745262"/>
        <rFont val="Century Gothic"/>
      </rPr>
      <t xml:space="preserve"> Irritação GI, nauseas, vomito, dor abdominal, diarreia, flatulencia</t>
    </r>
  </si>
  <si>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K,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Cl. Urina: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K,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>Mg</t>
    </r>
  </si>
  <si>
    <t xml:space="preserve">Não usar substituiros de sal </t>
  </si>
  <si>
    <t xml:space="preserve">Tomar c/as refeições, c/1 copo de líquido </t>
  </si>
  <si>
    <t xml:space="preserve">Sol Ringer lactado</t>
  </si>
  <si>
    <t xml:space="preserve">Subgalato bismuto 50g</t>
  </si>
  <si>
    <t>Miscelânea</t>
  </si>
  <si>
    <t xml:space="preserve">Vertix 10mg</t>
  </si>
  <si>
    <t xml:space="preserve">Dicloridrato de flunarizina</t>
  </si>
  <si>
    <t xml:space="preserve">Zentel 400mg</t>
  </si>
  <si>
    <t>albendazol</t>
  </si>
  <si>
    <t>Anti-helmintico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</si>
  <si>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dor abdominal, nauseas, vomito, diarreia. </t>
    </r>
    <r>
      <rPr>
        <b/>
        <sz val="11"/>
        <color theme="0" tint="-0.499984740745262"/>
        <rFont val="Century Gothic"/>
      </rPr>
      <t>Precaução</t>
    </r>
    <r>
      <rPr>
        <sz val="11"/>
        <color theme="0" tint="-0.499984740745262"/>
        <rFont val="Century Gothic"/>
      </rPr>
      <t xml:space="preserve">: Lactação, </t>
    </r>
    <r>
      <rPr>
        <sz val="11"/>
        <color theme="0" tint="-0.499984740745262"/>
        <rFont val="Calibri"/>
      </rPr>
      <t>↓</t>
    </r>
    <r>
      <rPr>
        <sz val="11"/>
        <color theme="0" tint="-0.499984740745262"/>
        <rFont val="Century Gothic"/>
      </rPr>
      <t xml:space="preserve">função hepática</t>
    </r>
  </si>
  <si>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TGO, ↑TGP</t>
    </r>
  </si>
  <si>
    <t xml:space="preserve">Monitorar: Hct, função hepática</t>
  </si>
  <si>
    <r>
      <t xml:space="preserve">Com alimento rico em gordura = </t>
    </r>
    <r>
      <rPr>
        <sz val="11"/>
        <color theme="0" tint="-0.499984740745262"/>
        <rFont val="Calibri"/>
      </rPr>
      <t>↑</t>
    </r>
    <r>
      <rPr>
        <sz val="11"/>
        <color theme="0" tint="-0.499984740745262"/>
        <rFont val="Century Gothic"/>
      </rPr>
      <t xml:space="preserve"> 5s a absorção</t>
    </r>
  </si>
  <si>
    <t xml:space="preserve">Tomar c/alimento</t>
  </si>
  <si>
    <t xml:space="preserve">V- Fend</t>
  </si>
  <si>
    <t>Voriconazol</t>
  </si>
  <si>
    <t>Antifungico</t>
  </si>
  <si>
    <r>
      <rPr>
        <b/>
        <sz val="11"/>
        <color theme="0" tint="-0.499984740745262"/>
        <rFont val="Century Gothic"/>
      </rPr>
      <t xml:space="preserve">Pode causar</t>
    </r>
    <r>
      <rPr>
        <sz val="11"/>
        <color theme="0" tint="-0.499984740745262"/>
        <rFont val="Century Gothic"/>
      </rPr>
      <t xml:space="preserve">: distúrbios visuais, febre, rash, vômitos, náusea, diarréia, cefaléia, edema periférico e dor abdominal.</t>
    </r>
  </si>
  <si>
    <t xml:space="preserve">Elevação da função hepática detectada em testes (incluindo AST (TGO), ALT (TGP), fosfatase alcalina, GGT, LDH, bilirrubina), gastroenterite.</t>
  </si>
  <si>
    <t xml:space="preserve">Comum Hipocalemia, creatinina elevada, hipoglicemia. Incomum Elevação de uréia sérica (BUN elevado), albuminúria, hipercolesterolemia</t>
  </si>
  <si>
    <t xml:space="preserve">Ao administrar junto com nutrientes hiperlipidicos, pode ter sua absorção diminuida.</t>
  </si>
  <si>
    <t xml:space="preserve">Evitar dietas hiperlipidicas.</t>
  </si>
  <si>
    <t xml:space="preserve">AVALIAÇÃO - INTERAÇÃO DROGA NUTRIENTE</t>
  </si>
  <si>
    <t xml:space="preserve">Nome do paciente:</t>
  </si>
  <si>
    <t xml:space="preserve">Registro: </t>
  </si>
  <si>
    <t xml:space="preserve">Data de nascimento:</t>
  </si>
  <si>
    <t>Idade</t>
  </si>
  <si>
    <t xml:space="preserve">Data da prescrição:</t>
  </si>
  <si>
    <t xml:space="preserve">Data da avaliação:</t>
  </si>
  <si>
    <t xml:space="preserve">Farmaceutica Responsavél:</t>
  </si>
  <si>
    <t>Nutrição</t>
  </si>
  <si>
    <t>Enfermagem</t>
  </si>
  <si>
    <t>Médica</t>
  </si>
  <si>
    <t xml:space="preserve">Conduta Final:</t>
  </si>
  <si>
    <t xml:space="preserve">REFERÊNCIAS:1 - lacy CF, Armstrong ll, Goldman MP, lance ll. Drug information handbook. 2010-2011. Hudson: lexi-Comp; 2010 2 Micromedex. Healthcare series, [base de dados Internet]. Greenwood Village: Thomson MICROMEDEX; 2009 [acesso em 05.2010]. Disponível em URl: http://www.micromedex.com/products/drugdex. 3 - Bula do medicamento. Site ANVISA. 4 - lopes EM, Carvalho RBN, Freitas RM. Análise das possíveis interações entre medicamentos e alimentojnutrientes em pacientes hospitalizados. Einstein. 2010; 8(3 Pt 1):298-302.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</si>
</sst>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theme="0" tint="-0.499984740745262"/>
      <name val="Century Gothic"/>
    </font>
    <font>
      <b/>
      <sz val="11.000000"/>
      <color theme="0" tint="-0.499984740745262"/>
      <name val="Century Gothic"/>
    </font>
    <font>
      <sz val="11.000000"/>
      <color theme="1"/>
      <name val="Century Gothic"/>
    </font>
    <font>
      <b/>
      <sz val="16.000000"/>
      <color theme="1"/>
      <name val="Century Gothic"/>
    </font>
    <font>
      <b/>
      <sz val="9.000000"/>
      <color theme="0"/>
      <name val="Century Gothic"/>
    </font>
    <font>
      <b/>
      <sz val="11.000000"/>
      <name val="Century Gothic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0"/>
      </patternFill>
    </fill>
    <fill>
      <patternFill patternType="solid">
        <fgColor theme="6" tint="0.39997558519241921"/>
      </patternFill>
    </fill>
    <fill>
      <patternFill patternType="solid">
        <fgColor theme="0" tint="-0.049989318521683403"/>
      </patternFill>
    </fill>
    <fill>
      <patternFill patternType="solid">
        <fgColor theme="2" tint="-0.249977111117893"/>
      </patternFill>
    </fill>
    <fill>
      <patternFill patternType="solid">
        <fgColor theme="0" tint="-0.14999847407452621"/>
      </patternFill>
    </fill>
  </fills>
  <borders count="19">
    <border>
      <left style="none"/>
      <right style="none"/>
      <top style="none"/>
      <bottom style="none"/>
      <diagonal style="none"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none"/>
      <diagonal style="none"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 style="none"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none"/>
    </border>
    <border>
      <left style="none"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 style="none"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none"/>
      <diagonal style="none"/>
    </border>
    <border>
      <left style="thin">
        <color theme="0" tint="-0.34998626667073579"/>
      </left>
      <right style="thin">
        <color theme="0" tint="-0.34998626667073579"/>
      </right>
      <top style="none"/>
      <bottom style="thin">
        <color theme="0" tint="-0.34998626667073579"/>
      </bottom>
      <diagonal style="none"/>
    </border>
    <border>
      <left style="thin">
        <color theme="0" tint="-0.34998626667073579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0" tint="-0.249977111117893"/>
      </left>
      <right style="none"/>
      <top style="thin">
        <color theme="0" tint="-0.249977111117893"/>
      </top>
      <bottom style="thin">
        <color theme="0" tint="-0.249977111117893"/>
      </bottom>
      <diagonal style="none"/>
    </border>
    <border>
      <left style="none"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 style="none"/>
    </border>
    <border>
      <left style="none"/>
      <right style="none"/>
      <top style="thin">
        <color theme="0" tint="-0.249977111117893"/>
      </top>
      <bottom style="thin">
        <color theme="0" tint="-0.249977111117893"/>
      </bottom>
      <diagonal style="none"/>
    </border>
    <border>
      <left style="thin">
        <color theme="0" tint="-0.249977111117893"/>
      </left>
      <right style="none"/>
      <top style="thin">
        <color theme="0" tint="-0.14999847407452621"/>
      </top>
      <bottom style="none"/>
      <diagonal style="none"/>
    </border>
    <border>
      <left style="none"/>
      <right style="none"/>
      <top style="thin">
        <color theme="0" tint="-0.14999847407452621"/>
      </top>
      <bottom style="none"/>
      <diagonal style="none"/>
    </border>
    <border>
      <left style="none"/>
      <right style="thin">
        <color theme="0" tint="-0.249977111117893"/>
      </right>
      <top style="thin">
        <color theme="0" tint="-0.14999847407452621"/>
      </top>
      <bottom style="none"/>
      <diagonal style="none"/>
    </border>
    <border>
      <left style="thin">
        <color theme="0" tint="-0.249977111117893"/>
      </left>
      <right style="none"/>
      <top style="none"/>
      <bottom style="none"/>
      <diagonal style="none"/>
    </border>
    <border>
      <left style="none"/>
      <right style="thin">
        <color theme="0" tint="-0.249977111117893"/>
      </right>
      <top style="none"/>
      <bottom style="none"/>
      <diagonal style="none"/>
    </border>
    <border>
      <left style="thin">
        <color theme="0" tint="-0.249977111117893"/>
      </left>
      <right style="none"/>
      <top style="none"/>
      <bottom style="thin">
        <color theme="0" tint="-0.249977111117893"/>
      </bottom>
      <diagonal style="none"/>
    </border>
    <border>
      <left style="none"/>
      <right style="none"/>
      <top style="none"/>
      <bottom style="thin">
        <color theme="0" tint="-0.249977111117893"/>
      </bottom>
      <diagonal style="none"/>
    </border>
    <border>
      <left style="none"/>
      <right style="thin">
        <color theme="0" tint="-0.249977111117893"/>
      </right>
      <top style="none"/>
      <bottom style="thin">
        <color theme="0" tint="-0.249977111117893"/>
      </bottom>
      <diagonal style="none"/>
    </border>
  </borders>
  <cellStyleXfs count="1">
    <xf fontId="0" fillId="0" borderId="0" numFmtId="0" applyNumberFormat="1" applyFont="1" applyFill="1" applyBorder="1"/>
  </cellStyleXfs>
  <cellXfs count="52">
    <xf fontId="0" fillId="0" borderId="0" numFmtId="0" xfId="0"/>
    <xf fontId="1" fillId="0" borderId="0" numFmtId="0" xfId="0" applyFont="1" applyAlignment="1">
      <alignment vertical="top"/>
    </xf>
    <xf fontId="2" fillId="2" borderId="1" numFmtId="0" xfId="0" applyFont="1" applyFill="1" applyBorder="1" applyAlignment="1">
      <alignment horizontal="center" vertical="top" wrapText="1"/>
    </xf>
    <xf fontId="2" fillId="2" borderId="2" numFmtId="0" xfId="0" applyFont="1" applyFill="1" applyBorder="1" applyAlignment="1">
      <alignment horizontal="center" vertical="top" wrapText="1"/>
    </xf>
    <xf fontId="1" fillId="3" borderId="3" numFmtId="0" xfId="0" applyFont="1" applyFill="1" applyBorder="1" applyAlignment="1">
      <alignment horizontal="center" vertical="top" wrapText="1"/>
    </xf>
    <xf fontId="1" fillId="0" borderId="4" numFmtId="0" xfId="0" applyFont="1" applyBorder="1" applyAlignment="1">
      <alignment vertical="top" wrapText="1"/>
    </xf>
    <xf fontId="1" fillId="0" borderId="3" numFmtId="0" xfId="0" applyFont="1" applyBorder="1" applyAlignment="1">
      <alignment vertical="center" wrapText="1"/>
    </xf>
    <xf fontId="1" fillId="0" borderId="2" numFmtId="0" xfId="0" applyFont="1" applyBorder="1" applyAlignment="1">
      <alignment vertical="top" wrapText="1"/>
    </xf>
    <xf fontId="1" fillId="0" borderId="2" numFmtId="0" xfId="0" applyFont="1" applyBorder="1" applyAlignment="1" quotePrefix="1">
      <alignment vertical="top" wrapText="1"/>
    </xf>
    <xf fontId="1" fillId="0" borderId="2" numFmtId="0" xfId="0" applyFont="1" applyBorder="1" applyAlignment="1">
      <alignment horizontal="left" vertical="top" wrapText="1"/>
    </xf>
    <xf fontId="1" fillId="0" borderId="3" numFmtId="0" xfId="0" applyFont="1" applyBorder="1" applyAlignment="1">
      <alignment vertical="top" wrapText="1"/>
    </xf>
    <xf fontId="1" fillId="0" borderId="0" numFmtId="0" xfId="0" applyFont="1" applyAlignment="1">
      <alignment vertical="top" wrapText="1"/>
    </xf>
    <xf fontId="1" fillId="0" borderId="2" numFmtId="0" xfId="0" applyFont="1" applyBorder="1" applyAlignment="1">
      <alignment horizontal="center" vertical="top" wrapText="1"/>
    </xf>
    <xf fontId="1" fillId="0" borderId="2" numFmtId="0" xfId="0" applyFont="1" applyBorder="1" applyAlignment="1">
      <alignment vertical="top"/>
    </xf>
    <xf fontId="1" fillId="0" borderId="4" numFmtId="0" xfId="0" applyFont="1" applyBorder="1" applyAlignment="1">
      <alignment horizontal="center" vertical="top" wrapText="1"/>
    </xf>
    <xf fontId="1" fillId="0" borderId="3" numFmtId="0" xfId="0" applyFont="1" applyBorder="1" applyAlignment="1">
      <alignment vertical="top"/>
    </xf>
    <xf fontId="1" fillId="0" borderId="5" numFmtId="0" xfId="0" applyFont="1" applyBorder="1" applyAlignment="1">
      <alignment vertical="center" wrapText="1"/>
    </xf>
    <xf fontId="1" fillId="0" borderId="6" numFmtId="0" xfId="0" applyFont="1" applyBorder="1" applyAlignment="1">
      <alignment vertical="center" wrapText="1"/>
    </xf>
    <xf fontId="1" fillId="0" borderId="0" numFmtId="0" xfId="0" applyFont="1" applyAlignment="1">
      <alignment horizontal="center" vertical="top" wrapText="1"/>
    </xf>
    <xf fontId="1" fillId="0" borderId="0" numFmtId="0" xfId="0" applyFont="1" applyAlignment="1">
      <alignment horizontal="left" vertical="top" wrapText="1"/>
    </xf>
    <xf fontId="1" fillId="0" borderId="7" numFmtId="0" xfId="0" applyFont="1" applyBorder="1" applyAlignment="1">
      <alignment vertical="top" wrapText="1"/>
    </xf>
    <xf fontId="1" fillId="3" borderId="0" numFmtId="0" xfId="0" applyFont="1" applyFill="1" applyAlignment="1">
      <alignment vertical="top" wrapText="1"/>
    </xf>
    <xf fontId="1" fillId="0" borderId="2" numFmtId="0" xfId="0" applyFont="1" applyBorder="1" applyAlignment="1">
      <alignment horizontal="center" vertical="top"/>
    </xf>
    <xf fontId="1" fillId="0" borderId="0" numFmtId="0" xfId="0" applyFont="1" applyAlignment="1">
      <alignment horizontal="left" vertical="center" wrapText="1"/>
    </xf>
    <xf fontId="2" fillId="0" borderId="0" numFmtId="0" xfId="0" applyFont="1" applyAlignment="1">
      <alignment vertical="top" wrapText="1"/>
    </xf>
    <xf fontId="1" fillId="0" borderId="0" numFmtId="0" xfId="0" applyFont="1" applyAlignment="1">
      <alignment horizontal="right" vertical="top"/>
    </xf>
    <xf fontId="3" fillId="0" borderId="0" numFmtId="0" xfId="0" applyFont="1"/>
    <xf fontId="3" fillId="0" borderId="8" numFmtId="0" xfId="0" applyFont="1" applyBorder="1" applyAlignment="1">
      <alignment horizontal="center"/>
    </xf>
    <xf fontId="3" fillId="0" borderId="9" numFmtId="0" xfId="0" applyFont="1" applyBorder="1" applyAlignment="1">
      <alignment horizontal="center"/>
    </xf>
    <xf fontId="4" fillId="0" borderId="8" numFmtId="0" xfId="0" applyFont="1" applyBorder="1" applyAlignment="1">
      <alignment horizontal="center" vertical="center"/>
    </xf>
    <xf fontId="4" fillId="0" borderId="10" numFmtId="0" xfId="0" applyFont="1" applyBorder="1" applyAlignment="1">
      <alignment horizontal="center" vertical="center"/>
    </xf>
    <xf fontId="4" fillId="0" borderId="9" numFmtId="0" xfId="0" applyFont="1" applyBorder="1" applyAlignment="1">
      <alignment horizontal="center" vertic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 vertical="center"/>
    </xf>
    <xf fontId="2" fillId="4" borderId="0" numFmtId="0" xfId="0" applyFont="1" applyFill="1" applyAlignment="1">
      <alignment horizontal="left"/>
    </xf>
    <xf fontId="1" fillId="5" borderId="0" numFmtId="0" xfId="0" applyFont="1" applyFill="1" applyAlignment="1">
      <alignment horizontal="left"/>
    </xf>
    <xf fontId="1" fillId="5" borderId="0" numFmtId="14" xfId="0" applyNumberFormat="1" applyFont="1" applyFill="1" applyAlignment="1">
      <alignment horizontal="left"/>
    </xf>
    <xf fontId="1" fillId="5" borderId="0" numFmtId="1" xfId="0" applyNumberFormat="1" applyFont="1" applyFill="1" applyAlignment="1">
      <alignment horizontal="left"/>
    </xf>
    <xf fontId="1" fillId="5" borderId="0" numFmtId="14" xfId="0" applyNumberFormat="1" applyFont="1" applyFill="1" applyAlignment="1">
      <alignment horizontal="center"/>
    </xf>
    <xf fontId="2" fillId="5" borderId="0" numFmtId="0" xfId="0" applyFont="1" applyFill="1" applyAlignment="1">
      <alignment horizontal="left"/>
    </xf>
    <xf fontId="5" fillId="6" borderId="2" numFmtId="0" xfId="0" applyFont="1" applyFill="1" applyBorder="1" applyAlignment="1">
      <alignment horizontal="center" vertical="center" wrapText="1"/>
    </xf>
    <xf fontId="3" fillId="0" borderId="2" numFmtId="0" xfId="0" applyFont="1" applyBorder="1" applyAlignment="1">
      <alignment vertical="center" wrapText="1"/>
    </xf>
    <xf fontId="6" fillId="7" borderId="11" numFmtId="0" xfId="0" applyFont="1" applyFill="1" applyBorder="1" applyAlignment="1">
      <alignment horizontal="left" vertical="top"/>
    </xf>
    <xf fontId="6" fillId="7" borderId="12" numFmtId="0" xfId="0" applyFont="1" applyFill="1" applyBorder="1" applyAlignment="1">
      <alignment horizontal="left" vertical="top"/>
    </xf>
    <xf fontId="6" fillId="7" borderId="13" numFmtId="0" xfId="0" applyFont="1" applyFill="1" applyBorder="1" applyAlignment="1">
      <alignment horizontal="left" vertical="top"/>
    </xf>
    <xf fontId="6" fillId="7" borderId="14" numFmtId="0" xfId="0" applyFont="1" applyFill="1" applyBorder="1" applyAlignment="1">
      <alignment horizontal="left" vertical="top"/>
    </xf>
    <xf fontId="6" fillId="7" borderId="0" numFmtId="0" xfId="0" applyFont="1" applyFill="1" applyAlignment="1">
      <alignment horizontal="left" vertical="top"/>
    </xf>
    <xf fontId="6" fillId="7" borderId="15" numFmtId="0" xfId="0" applyFont="1" applyFill="1" applyBorder="1" applyAlignment="1">
      <alignment horizontal="left" vertical="top"/>
    </xf>
    <xf fontId="6" fillId="7" borderId="16" numFmtId="0" xfId="0" applyFont="1" applyFill="1" applyBorder="1" applyAlignment="1">
      <alignment horizontal="left" vertical="top"/>
    </xf>
    <xf fontId="6" fillId="7" borderId="17" numFmtId="0" xfId="0" applyFont="1" applyFill="1" applyBorder="1" applyAlignment="1">
      <alignment horizontal="left" vertical="top"/>
    </xf>
    <xf fontId="6" fillId="7" borderId="18" numFmtId="0" xfId="0" applyFont="1" applyFill="1" applyBorder="1" applyAlignment="1">
      <alignment horizontal="left" vertical="top"/>
    </xf>
    <xf fontId="0" fillId="0" borderId="0" numFmt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960641</xdr:colOff>
      <xdr:row>0</xdr:row>
      <xdr:rowOff>48846</xdr:rowOff>
    </xdr:from>
    <xdr:to>
      <xdr:col>1</xdr:col>
      <xdr:colOff>227948</xdr:colOff>
      <xdr:row>0</xdr:row>
      <xdr:rowOff>1090897</xdr:rowOff>
    </xdr:to>
    <xdr:pic>
      <xdr:nvPicPr>
        <xdr:cNvPr id="2" name="Picture 1" descr="LOGO HOSPITAL.JPG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960641" y="48846"/>
          <a:ext cx="1042051" cy="1042051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F288" activeCellId="0" sqref="F288"/>
    </sheetView>
  </sheetViews>
  <sheetFormatPr defaultColWidth="8.85546875" defaultRowHeight="14.25"/>
  <cols>
    <col customWidth="1" min="1" max="1" style="1" width="17.42578125"/>
    <col customWidth="1" min="2" max="2" style="1" width="18.140625"/>
    <col customWidth="1" min="3" max="3" style="1" width="20"/>
    <col customWidth="1" min="4" max="4" style="1" width="30.85546875"/>
    <col customWidth="1" min="5" max="5" style="1" width="20.42578125"/>
    <col customWidth="1" min="6" max="6" style="1" width="27.7109375"/>
    <col customWidth="1" min="7" max="7" style="1" width="28.85546875"/>
    <col customWidth="1" min="8" max="8" style="1" width="18"/>
    <col customWidth="1" min="9" max="9" style="1" width="20.140625"/>
    <col min="10" max="59" style="1" width="8.85546875"/>
    <col customWidth="1" min="60" max="63" style="1" width="9.140625"/>
    <col min="64" max="16384" style="1" width="8.85546875"/>
  </cols>
  <sheetData>
    <row r="1" ht="36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39.75" customHeight="1">
      <c r="A2" s="4" t="s">
        <v>9</v>
      </c>
      <c r="B2" s="4" t="s">
        <v>10</v>
      </c>
      <c r="C2" s="4" t="s">
        <v>11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 t="s">
        <v>12</v>
      </c>
    </row>
    <row r="3" ht="50.25" customHeight="1">
      <c r="A3" s="4" t="s">
        <v>13</v>
      </c>
      <c r="B3" s="4" t="s">
        <v>10</v>
      </c>
      <c r="C3" s="4" t="s">
        <v>11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 t="s">
        <v>12</v>
      </c>
    </row>
    <row r="4" ht="219.75" customHeight="1">
      <c r="A4" s="6" t="s">
        <v>14</v>
      </c>
      <c r="B4" s="6" t="s">
        <v>15</v>
      </c>
      <c r="C4" s="6" t="s">
        <v>16</v>
      </c>
      <c r="D4" s="7" t="s">
        <v>17</v>
      </c>
      <c r="E4" s="8" t="s">
        <v>18</v>
      </c>
      <c r="F4" s="7" t="s">
        <v>19</v>
      </c>
      <c r="G4" s="7" t="s">
        <v>20</v>
      </c>
      <c r="H4" s="7" t="s">
        <v>21</v>
      </c>
      <c r="I4" s="7" t="s">
        <v>22</v>
      </c>
    </row>
    <row r="5" ht="149.25" customHeight="1">
      <c r="A5" s="6" t="s">
        <v>23</v>
      </c>
      <c r="B5" s="6" t="s">
        <v>24</v>
      </c>
      <c r="C5" s="6" t="s">
        <v>25</v>
      </c>
      <c r="D5" s="7" t="s">
        <v>26</v>
      </c>
      <c r="E5" s="7" t="s">
        <v>27</v>
      </c>
      <c r="F5" s="9" t="s">
        <v>28</v>
      </c>
      <c r="G5" s="7" t="s">
        <v>29</v>
      </c>
      <c r="H5" s="7" t="s">
        <v>30</v>
      </c>
      <c r="I5" s="9" t="s">
        <v>31</v>
      </c>
    </row>
    <row r="6" ht="63.75" customHeight="1">
      <c r="A6" s="10" t="s">
        <v>32</v>
      </c>
      <c r="B6" s="10" t="s">
        <v>33</v>
      </c>
      <c r="C6" s="10" t="s">
        <v>34</v>
      </c>
      <c r="D6" s="7" t="s">
        <v>35</v>
      </c>
      <c r="E6" s="11" t="s">
        <v>36</v>
      </c>
      <c r="F6" s="1" t="s">
        <v>12</v>
      </c>
      <c r="G6" s="1" t="s">
        <v>12</v>
      </c>
      <c r="H6" s="1" t="s">
        <v>12</v>
      </c>
      <c r="I6" s="1" t="s">
        <v>12</v>
      </c>
    </row>
    <row r="7" ht="131.25" customHeight="1">
      <c r="A7" s="10" t="s">
        <v>37</v>
      </c>
      <c r="B7" s="10" t="s">
        <v>38</v>
      </c>
      <c r="C7" s="10" t="s">
        <v>39</v>
      </c>
      <c r="D7" s="7" t="s">
        <v>40</v>
      </c>
      <c r="E7" s="9" t="s">
        <v>41</v>
      </c>
      <c r="F7" s="7" t="s">
        <v>42</v>
      </c>
      <c r="G7" s="7" t="s">
        <v>43</v>
      </c>
      <c r="H7" s="12" t="s">
        <v>12</v>
      </c>
      <c r="I7" s="7" t="s">
        <v>22</v>
      </c>
    </row>
    <row r="8" ht="120" customHeight="1">
      <c r="A8" s="10" t="s">
        <v>44</v>
      </c>
      <c r="B8" s="10" t="s">
        <v>38</v>
      </c>
      <c r="C8" s="10" t="s">
        <v>39</v>
      </c>
      <c r="D8" s="7" t="s">
        <v>40</v>
      </c>
      <c r="E8" s="9" t="s">
        <v>41</v>
      </c>
      <c r="F8" s="7" t="s">
        <v>42</v>
      </c>
      <c r="G8" s="7" t="s">
        <v>43</v>
      </c>
      <c r="H8" s="12" t="s">
        <v>12</v>
      </c>
      <c r="I8" s="7" t="s">
        <v>22</v>
      </c>
    </row>
    <row r="9" ht="168" customHeight="1">
      <c r="A9" s="6" t="s">
        <v>45</v>
      </c>
      <c r="B9" s="6" t="s">
        <v>46</v>
      </c>
      <c r="C9" s="6" t="s">
        <v>34</v>
      </c>
      <c r="D9" s="7" t="s">
        <v>47</v>
      </c>
      <c r="E9" s="7" t="s">
        <v>48</v>
      </c>
      <c r="F9" s="7" t="s">
        <v>49</v>
      </c>
      <c r="G9" s="7" t="s">
        <v>50</v>
      </c>
      <c r="H9" s="7" t="s">
        <v>51</v>
      </c>
      <c r="I9" s="13" t="s">
        <v>12</v>
      </c>
    </row>
    <row r="10" ht="50.25" customHeight="1">
      <c r="A10" s="6" t="s">
        <v>52</v>
      </c>
      <c r="B10" s="6" t="s">
        <v>53</v>
      </c>
      <c r="C10" s="6" t="s">
        <v>54</v>
      </c>
      <c r="D10" s="5" t="s">
        <v>12</v>
      </c>
      <c r="E10" s="5" t="s">
        <v>12</v>
      </c>
      <c r="F10" s="5" t="s">
        <v>12</v>
      </c>
      <c r="G10" s="5" t="s">
        <v>12</v>
      </c>
      <c r="H10" s="5" t="s">
        <v>12</v>
      </c>
      <c r="I10" s="5" t="s">
        <v>12</v>
      </c>
    </row>
    <row r="11" ht="66" customHeight="1">
      <c r="A11" s="6" t="s">
        <v>55</v>
      </c>
      <c r="B11" s="6" t="s">
        <v>56</v>
      </c>
      <c r="C11" s="6" t="s">
        <v>57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  <c r="I11" s="5" t="s">
        <v>12</v>
      </c>
    </row>
    <row r="12" ht="72.75" customHeight="1">
      <c r="A12" s="6" t="s">
        <v>58</v>
      </c>
      <c r="B12" s="6" t="s">
        <v>59</v>
      </c>
      <c r="C12" s="6" t="s">
        <v>60</v>
      </c>
      <c r="D12" s="5" t="s">
        <v>12</v>
      </c>
      <c r="E12" s="5" t="s">
        <v>12</v>
      </c>
      <c r="F12" s="5" t="s">
        <v>12</v>
      </c>
      <c r="G12" s="5" t="s">
        <v>61</v>
      </c>
      <c r="H12" s="5" t="s">
        <v>62</v>
      </c>
      <c r="I12" s="5" t="s">
        <v>12</v>
      </c>
    </row>
    <row r="13" ht="66.75" customHeight="1">
      <c r="A13" s="6" t="s">
        <v>63</v>
      </c>
      <c r="B13" s="6" t="s">
        <v>64</v>
      </c>
      <c r="C13" s="6" t="s">
        <v>65</v>
      </c>
      <c r="D13" s="5" t="s">
        <v>12</v>
      </c>
      <c r="E13" s="5" t="s">
        <v>12</v>
      </c>
      <c r="F13" s="5" t="s">
        <v>12</v>
      </c>
      <c r="G13" s="5" t="s">
        <v>12</v>
      </c>
      <c r="H13" s="5" t="s">
        <v>12</v>
      </c>
      <c r="I13" s="5" t="s">
        <v>12</v>
      </c>
    </row>
    <row r="14" ht="101.25" customHeight="1">
      <c r="A14" s="6" t="s">
        <v>66</v>
      </c>
      <c r="B14" s="6" t="s">
        <v>67</v>
      </c>
      <c r="C14" s="6" t="s">
        <v>68</v>
      </c>
      <c r="D14" s="5" t="s">
        <v>69</v>
      </c>
      <c r="E14" s="14" t="s">
        <v>70</v>
      </c>
      <c r="F14" s="5" t="s">
        <v>12</v>
      </c>
      <c r="G14" s="7" t="s">
        <v>71</v>
      </c>
      <c r="H14" s="9" t="s">
        <v>72</v>
      </c>
      <c r="I14" s="7" t="s">
        <v>73</v>
      </c>
    </row>
    <row r="15" ht="54.75" customHeight="1">
      <c r="A15" s="6" t="s">
        <v>74</v>
      </c>
      <c r="B15" s="6" t="s">
        <v>75</v>
      </c>
      <c r="C15" s="6" t="s">
        <v>76</v>
      </c>
      <c r="D15" s="5" t="s">
        <v>12</v>
      </c>
      <c r="E15" s="5" t="s">
        <v>12</v>
      </c>
      <c r="F15" s="5" t="s">
        <v>12</v>
      </c>
      <c r="G15" s="5" t="s">
        <v>12</v>
      </c>
      <c r="H15" s="5" t="s">
        <v>12</v>
      </c>
      <c r="I15" s="5" t="s">
        <v>12</v>
      </c>
    </row>
    <row r="16" ht="147.75" customHeight="1">
      <c r="A16" s="6" t="s">
        <v>77</v>
      </c>
      <c r="B16" s="6" t="s">
        <v>78</v>
      </c>
      <c r="C16" s="6" t="s">
        <v>79</v>
      </c>
      <c r="D16" s="7" t="s">
        <v>80</v>
      </c>
      <c r="E16" s="7" t="s">
        <v>81</v>
      </c>
      <c r="F16" s="7" t="s">
        <v>82</v>
      </c>
      <c r="G16" s="7" t="s">
        <v>83</v>
      </c>
      <c r="H16" s="7" t="s">
        <v>84</v>
      </c>
      <c r="I16" s="7" t="s">
        <v>85</v>
      </c>
    </row>
    <row r="17" ht="182.25" customHeight="1">
      <c r="A17" s="6" t="s">
        <v>86</v>
      </c>
      <c r="B17" s="6" t="s">
        <v>87</v>
      </c>
      <c r="C17" s="6" t="s">
        <v>88</v>
      </c>
      <c r="D17" s="7" t="s">
        <v>89</v>
      </c>
      <c r="E17" s="7" t="s">
        <v>90</v>
      </c>
      <c r="F17" s="7" t="s">
        <v>91</v>
      </c>
      <c r="G17" s="7" t="s">
        <v>92</v>
      </c>
      <c r="H17" s="7" t="s">
        <v>93</v>
      </c>
      <c r="I17" s="7" t="s">
        <v>94</v>
      </c>
    </row>
    <row r="18" ht="133.5" customHeight="1">
      <c r="A18" s="6" t="s">
        <v>95</v>
      </c>
      <c r="B18" s="6" t="s">
        <v>96</v>
      </c>
      <c r="C18" s="6" t="s">
        <v>39</v>
      </c>
      <c r="D18" s="7" t="s">
        <v>97</v>
      </c>
      <c r="E18" s="7" t="s">
        <v>98</v>
      </c>
      <c r="F18" s="7" t="s">
        <v>99</v>
      </c>
      <c r="G18" s="7" t="s">
        <v>12</v>
      </c>
      <c r="H18" s="7" t="s">
        <v>100</v>
      </c>
      <c r="I18" s="7" t="s">
        <v>101</v>
      </c>
    </row>
    <row r="19" ht="87" customHeight="1">
      <c r="A19" s="6" t="s">
        <v>102</v>
      </c>
      <c r="B19" s="6" t="s">
        <v>103</v>
      </c>
      <c r="C19" s="6" t="s">
        <v>104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  <c r="I19" s="5" t="s">
        <v>12</v>
      </c>
    </row>
    <row r="20" ht="87" customHeight="1">
      <c r="A20" s="6" t="s">
        <v>105</v>
      </c>
      <c r="B20" s="6" t="s">
        <v>103</v>
      </c>
      <c r="C20" s="6" t="s">
        <v>104</v>
      </c>
      <c r="D20" s="5" t="s">
        <v>12</v>
      </c>
      <c r="E20" s="5" t="s">
        <v>12</v>
      </c>
      <c r="F20" s="5" t="s">
        <v>12</v>
      </c>
      <c r="G20" s="5" t="s">
        <v>12</v>
      </c>
      <c r="H20" s="5" t="s">
        <v>12</v>
      </c>
      <c r="I20" s="5" t="s">
        <v>12</v>
      </c>
    </row>
    <row r="21" ht="87" customHeight="1">
      <c r="A21" s="6" t="s">
        <v>106</v>
      </c>
      <c r="B21" s="6" t="s">
        <v>103</v>
      </c>
      <c r="C21" s="6" t="s">
        <v>104</v>
      </c>
      <c r="D21" s="5" t="s">
        <v>12</v>
      </c>
      <c r="E21" s="5" t="s">
        <v>12</v>
      </c>
      <c r="F21" s="5" t="s">
        <v>12</v>
      </c>
      <c r="G21" s="5" t="s">
        <v>12</v>
      </c>
      <c r="H21" s="5" t="s">
        <v>12</v>
      </c>
      <c r="I21" s="5" t="s">
        <v>12</v>
      </c>
    </row>
    <row r="22" ht="195.75" customHeight="1">
      <c r="A22" s="10" t="s">
        <v>107</v>
      </c>
      <c r="B22" s="10" t="s">
        <v>108</v>
      </c>
      <c r="C22" s="10" t="s">
        <v>60</v>
      </c>
      <c r="D22" s="7" t="s">
        <v>109</v>
      </c>
      <c r="E22" s="7" t="s">
        <v>110</v>
      </c>
      <c r="F22" s="12" t="s">
        <v>111</v>
      </c>
      <c r="G22" s="7" t="s">
        <v>112</v>
      </c>
      <c r="H22" s="7" t="s">
        <v>113</v>
      </c>
      <c r="I22" s="12" t="s">
        <v>22</v>
      </c>
    </row>
    <row r="23" ht="200.25" customHeight="1">
      <c r="A23" s="10" t="s">
        <v>114</v>
      </c>
      <c r="B23" s="10" t="s">
        <v>108</v>
      </c>
      <c r="C23" s="10" t="s">
        <v>60</v>
      </c>
      <c r="D23" s="7" t="s">
        <v>109</v>
      </c>
      <c r="E23" s="7" t="s">
        <v>110</v>
      </c>
      <c r="F23" s="12" t="s">
        <v>111</v>
      </c>
      <c r="G23" s="7" t="s">
        <v>112</v>
      </c>
      <c r="H23" s="7" t="s">
        <v>113</v>
      </c>
      <c r="I23" s="12" t="s">
        <v>22</v>
      </c>
    </row>
    <row r="24" ht="236.25" customHeight="1">
      <c r="A24" s="6" t="s">
        <v>115</v>
      </c>
      <c r="B24" s="6" t="s">
        <v>116</v>
      </c>
      <c r="C24" s="6" t="s">
        <v>117</v>
      </c>
      <c r="D24" s="7" t="s">
        <v>118</v>
      </c>
      <c r="E24" s="7" t="s">
        <v>119</v>
      </c>
      <c r="F24" s="13" t="s">
        <v>12</v>
      </c>
      <c r="G24" s="7" t="s">
        <v>120</v>
      </c>
      <c r="H24" s="7" t="s">
        <v>121</v>
      </c>
      <c r="I24" s="7" t="s">
        <v>122</v>
      </c>
    </row>
    <row r="25" ht="150.75" customHeight="1">
      <c r="A25" s="6" t="s">
        <v>123</v>
      </c>
      <c r="B25" s="6" t="s">
        <v>124</v>
      </c>
      <c r="C25" s="6" t="s">
        <v>125</v>
      </c>
      <c r="D25" s="5" t="s">
        <v>126</v>
      </c>
      <c r="E25" s="5" t="s">
        <v>12</v>
      </c>
      <c r="F25" s="13" t="s">
        <v>127</v>
      </c>
      <c r="G25" s="12" t="s">
        <v>12</v>
      </c>
      <c r="H25" s="12" t="s">
        <v>12</v>
      </c>
      <c r="I25" s="7" t="s">
        <v>128</v>
      </c>
    </row>
    <row r="26" ht="134.25" customHeight="1">
      <c r="A26" s="6" t="s">
        <v>129</v>
      </c>
      <c r="B26" s="6" t="s">
        <v>130</v>
      </c>
      <c r="C26" s="6" t="s">
        <v>39</v>
      </c>
      <c r="D26" s="7" t="s">
        <v>40</v>
      </c>
      <c r="E26" s="9" t="s">
        <v>41</v>
      </c>
      <c r="F26" s="7" t="s">
        <v>42</v>
      </c>
      <c r="G26" s="7" t="s">
        <v>43</v>
      </c>
      <c r="H26" s="12" t="s">
        <v>12</v>
      </c>
      <c r="I26" s="7" t="s">
        <v>22</v>
      </c>
    </row>
    <row r="27" ht="81" customHeight="1">
      <c r="A27" s="6" t="s">
        <v>131</v>
      </c>
      <c r="B27" s="6" t="s">
        <v>132</v>
      </c>
      <c r="C27" s="6" t="s">
        <v>39</v>
      </c>
      <c r="D27" s="5" t="s">
        <v>12</v>
      </c>
      <c r="E27" s="5" t="s">
        <v>12</v>
      </c>
      <c r="F27" s="5" t="s">
        <v>12</v>
      </c>
      <c r="G27" s="5" t="s">
        <v>12</v>
      </c>
      <c r="H27" s="5" t="s">
        <v>12</v>
      </c>
      <c r="I27" s="5" t="s">
        <v>12</v>
      </c>
    </row>
    <row r="28" ht="120" customHeight="1">
      <c r="A28" s="6" t="s">
        <v>133</v>
      </c>
      <c r="B28" s="6" t="s">
        <v>134</v>
      </c>
      <c r="C28" s="6" t="s">
        <v>39</v>
      </c>
      <c r="D28" s="5" t="s">
        <v>135</v>
      </c>
      <c r="E28" s="5" t="s">
        <v>136</v>
      </c>
      <c r="F28" s="7" t="s">
        <v>137</v>
      </c>
      <c r="G28" s="12" t="s">
        <v>12</v>
      </c>
      <c r="H28" s="7" t="s">
        <v>138</v>
      </c>
      <c r="I28" s="7" t="s">
        <v>139</v>
      </c>
    </row>
    <row r="29" ht="148.5" customHeight="1">
      <c r="A29" s="6" t="s">
        <v>140</v>
      </c>
      <c r="B29" s="6" t="s">
        <v>141</v>
      </c>
      <c r="C29" s="6" t="s">
        <v>142</v>
      </c>
      <c r="D29" s="11" t="s">
        <v>143</v>
      </c>
      <c r="E29" s="14" t="s">
        <v>144</v>
      </c>
      <c r="F29" s="7" t="s">
        <v>145</v>
      </c>
      <c r="G29" s="5" t="s">
        <v>146</v>
      </c>
      <c r="H29" s="5" t="s">
        <v>12</v>
      </c>
      <c r="I29" s="5" t="s">
        <v>147</v>
      </c>
    </row>
    <row r="30" ht="101.25" customHeight="1">
      <c r="A30" s="6" t="s">
        <v>148</v>
      </c>
      <c r="B30" s="6" t="s">
        <v>149</v>
      </c>
      <c r="C30" s="6" t="s">
        <v>142</v>
      </c>
      <c r="D30" s="5" t="s">
        <v>12</v>
      </c>
      <c r="E30" s="5" t="s">
        <v>12</v>
      </c>
      <c r="F30" s="5" t="s">
        <v>12</v>
      </c>
      <c r="G30" s="5" t="s">
        <v>12</v>
      </c>
      <c r="H30" s="5" t="s">
        <v>12</v>
      </c>
      <c r="I30" s="5" t="s">
        <v>12</v>
      </c>
    </row>
    <row r="31" ht="100.5" customHeight="1">
      <c r="A31" s="6" t="s">
        <v>150</v>
      </c>
      <c r="B31" s="6" t="s">
        <v>151</v>
      </c>
      <c r="C31" s="6" t="s">
        <v>125</v>
      </c>
      <c r="D31" s="5" t="s">
        <v>152</v>
      </c>
      <c r="E31" s="14" t="s">
        <v>153</v>
      </c>
      <c r="F31" s="7" t="s">
        <v>154</v>
      </c>
      <c r="G31" s="7" t="s">
        <v>155</v>
      </c>
      <c r="H31" s="12" t="s">
        <v>156</v>
      </c>
      <c r="I31" s="7" t="s">
        <v>157</v>
      </c>
    </row>
    <row r="32" ht="149.25" customHeight="1">
      <c r="A32" s="6" t="s">
        <v>158</v>
      </c>
      <c r="B32" s="6" t="s">
        <v>159</v>
      </c>
      <c r="C32" s="6" t="s">
        <v>160</v>
      </c>
      <c r="D32" s="5" t="s">
        <v>161</v>
      </c>
      <c r="E32" s="14" t="s">
        <v>162</v>
      </c>
      <c r="F32" s="7" t="s">
        <v>163</v>
      </c>
      <c r="G32" s="7" t="s">
        <v>164</v>
      </c>
      <c r="H32" s="12" t="s">
        <v>165</v>
      </c>
      <c r="I32" s="7" t="s">
        <v>166</v>
      </c>
    </row>
    <row r="33" ht="77.25" customHeight="1">
      <c r="A33" s="6" t="s">
        <v>167</v>
      </c>
      <c r="B33" s="6" t="s">
        <v>168</v>
      </c>
      <c r="C33" s="6" t="s">
        <v>169</v>
      </c>
      <c r="D33" s="5" t="s">
        <v>12</v>
      </c>
      <c r="E33" s="5" t="s">
        <v>12</v>
      </c>
      <c r="F33" s="5" t="s">
        <v>12</v>
      </c>
      <c r="G33" s="5" t="s">
        <v>12</v>
      </c>
      <c r="H33" s="5" t="s">
        <v>12</v>
      </c>
      <c r="I33" s="5" t="s">
        <v>12</v>
      </c>
    </row>
    <row r="34" ht="96" customHeight="1">
      <c r="A34" s="6" t="s">
        <v>170</v>
      </c>
      <c r="B34" s="6" t="s">
        <v>171</v>
      </c>
      <c r="C34" s="6" t="s">
        <v>39</v>
      </c>
      <c r="D34" s="5" t="s">
        <v>172</v>
      </c>
      <c r="E34" s="5" t="s">
        <v>173</v>
      </c>
      <c r="F34" s="7" t="s">
        <v>174</v>
      </c>
      <c r="G34" s="5" t="s">
        <v>12</v>
      </c>
      <c r="H34" s="7" t="s">
        <v>12</v>
      </c>
      <c r="I34" s="7" t="s">
        <v>175</v>
      </c>
    </row>
    <row r="35" ht="45" customHeight="1">
      <c r="A35" s="6" t="s">
        <v>176</v>
      </c>
      <c r="B35" s="6"/>
      <c r="C35" s="6" t="s">
        <v>169</v>
      </c>
      <c r="D35" s="5" t="s">
        <v>12</v>
      </c>
      <c r="E35" s="5" t="s">
        <v>12</v>
      </c>
      <c r="F35" s="5" t="s">
        <v>12</v>
      </c>
      <c r="G35" s="5" t="s">
        <v>12</v>
      </c>
      <c r="H35" s="5" t="s">
        <v>12</v>
      </c>
      <c r="I35" s="5" t="s">
        <v>12</v>
      </c>
    </row>
    <row r="36" ht="149.25" customHeight="1">
      <c r="A36" s="6" t="s">
        <v>177</v>
      </c>
      <c r="B36" s="6" t="s">
        <v>178</v>
      </c>
      <c r="C36" s="6" t="s">
        <v>179</v>
      </c>
      <c r="D36" s="5" t="s">
        <v>180</v>
      </c>
      <c r="E36" s="5" t="s">
        <v>181</v>
      </c>
      <c r="F36" s="5" t="s">
        <v>12</v>
      </c>
      <c r="G36" s="5" t="s">
        <v>12</v>
      </c>
      <c r="H36" s="5" t="s">
        <v>12</v>
      </c>
      <c r="I36" s="5" t="s">
        <v>12</v>
      </c>
    </row>
    <row r="37" ht="61.5" customHeight="1">
      <c r="A37" s="6" t="s">
        <v>182</v>
      </c>
      <c r="B37" s="6" t="s">
        <v>183</v>
      </c>
      <c r="C37" s="6" t="s">
        <v>104</v>
      </c>
      <c r="D37" s="5" t="s">
        <v>12</v>
      </c>
      <c r="E37" s="5" t="s">
        <v>12</v>
      </c>
      <c r="F37" s="5" t="s">
        <v>12</v>
      </c>
      <c r="G37" s="5" t="s">
        <v>12</v>
      </c>
      <c r="H37" s="5" t="s">
        <v>12</v>
      </c>
      <c r="I37" s="5" t="s">
        <v>12</v>
      </c>
    </row>
    <row r="38" ht="135" customHeight="1">
      <c r="A38" s="10" t="s">
        <v>184</v>
      </c>
      <c r="B38" s="15" t="s">
        <v>185</v>
      </c>
      <c r="C38" s="10" t="s">
        <v>39</v>
      </c>
      <c r="D38" s="5" t="s">
        <v>186</v>
      </c>
      <c r="E38" s="5" t="s">
        <v>187</v>
      </c>
      <c r="F38" s="7" t="s">
        <v>188</v>
      </c>
      <c r="G38" s="7" t="s">
        <v>189</v>
      </c>
      <c r="H38" s="7" t="s">
        <v>12</v>
      </c>
      <c r="I38" s="7" t="s">
        <v>190</v>
      </c>
    </row>
    <row r="39" ht="97.5" customHeight="1">
      <c r="A39" s="6" t="s">
        <v>191</v>
      </c>
      <c r="B39" s="6" t="s">
        <v>192</v>
      </c>
      <c r="C39" s="6" t="s">
        <v>39</v>
      </c>
      <c r="D39" s="5" t="s">
        <v>186</v>
      </c>
      <c r="E39" s="5" t="s">
        <v>187</v>
      </c>
      <c r="F39" s="7" t="s">
        <v>188</v>
      </c>
      <c r="G39" s="7" t="s">
        <v>189</v>
      </c>
      <c r="H39" s="7" t="s">
        <v>12</v>
      </c>
      <c r="I39" s="7" t="s">
        <v>190</v>
      </c>
    </row>
    <row r="40" ht="266.25" customHeight="1">
      <c r="A40" s="6" t="s">
        <v>193</v>
      </c>
      <c r="B40" s="6" t="s">
        <v>194</v>
      </c>
      <c r="C40" s="6" t="s">
        <v>195</v>
      </c>
      <c r="D40" s="5" t="s">
        <v>196</v>
      </c>
      <c r="E40" s="11" t="s">
        <v>197</v>
      </c>
      <c r="F40" s="7" t="s">
        <v>198</v>
      </c>
      <c r="G40" s="14" t="s">
        <v>199</v>
      </c>
      <c r="H40" s="7" t="s">
        <v>12</v>
      </c>
      <c r="I40" s="7" t="s">
        <v>200</v>
      </c>
    </row>
    <row r="41" ht="168" customHeight="1">
      <c r="A41" s="6" t="s">
        <v>201</v>
      </c>
      <c r="B41" s="6"/>
      <c r="C41" s="6" t="s">
        <v>202</v>
      </c>
      <c r="D41" s="5" t="s">
        <v>203</v>
      </c>
      <c r="E41" s="5" t="s">
        <v>204</v>
      </c>
      <c r="F41" s="7" t="s">
        <v>12</v>
      </c>
      <c r="G41" s="7" t="s">
        <v>12</v>
      </c>
      <c r="H41" s="7" t="s">
        <v>205</v>
      </c>
      <c r="I41" s="7" t="s">
        <v>206</v>
      </c>
    </row>
    <row r="42" ht="169.5" customHeight="1">
      <c r="A42" s="6" t="s">
        <v>207</v>
      </c>
      <c r="B42" s="6"/>
      <c r="C42" s="6" t="s">
        <v>202</v>
      </c>
      <c r="D42" s="5" t="s">
        <v>203</v>
      </c>
      <c r="E42" s="5" t="s">
        <v>204</v>
      </c>
      <c r="F42" s="7" t="s">
        <v>12</v>
      </c>
      <c r="G42" s="7" t="s">
        <v>12</v>
      </c>
      <c r="H42" s="7" t="s">
        <v>205</v>
      </c>
      <c r="I42" s="7" t="s">
        <v>206</v>
      </c>
    </row>
    <row r="43" ht="198.75" customHeight="1">
      <c r="A43" s="6" t="s">
        <v>208</v>
      </c>
      <c r="B43" s="6" t="s">
        <v>209</v>
      </c>
      <c r="C43" s="6" t="s">
        <v>68</v>
      </c>
      <c r="D43" s="5" t="s">
        <v>210</v>
      </c>
      <c r="E43" s="5" t="s">
        <v>211</v>
      </c>
      <c r="F43" s="7" t="s">
        <v>12</v>
      </c>
      <c r="G43" s="7" t="s">
        <v>12</v>
      </c>
      <c r="H43" s="7" t="s">
        <v>72</v>
      </c>
      <c r="I43" s="7" t="s">
        <v>212</v>
      </c>
    </row>
    <row r="44" ht="161.25" customHeight="1">
      <c r="A44" s="6" t="s">
        <v>213</v>
      </c>
      <c r="B44" s="6" t="s">
        <v>214</v>
      </c>
      <c r="C44" s="6" t="s">
        <v>215</v>
      </c>
      <c r="D44" s="5" t="s">
        <v>12</v>
      </c>
      <c r="E44" s="5" t="s">
        <v>12</v>
      </c>
      <c r="F44" s="5" t="s">
        <v>12</v>
      </c>
      <c r="G44" s="5" t="s">
        <v>12</v>
      </c>
      <c r="H44" s="5" t="s">
        <v>12</v>
      </c>
      <c r="I44" s="5" t="s">
        <v>12</v>
      </c>
    </row>
    <row r="45" ht="165" customHeight="1">
      <c r="A45" s="16" t="s">
        <v>216</v>
      </c>
      <c r="B45" s="16" t="s">
        <v>217</v>
      </c>
      <c r="C45" s="16" t="s">
        <v>104</v>
      </c>
      <c r="D45" s="5" t="s">
        <v>218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</row>
    <row r="46" ht="36.75" hidden="1" customHeight="1">
      <c r="A46" s="17"/>
      <c r="B46" s="17"/>
      <c r="C46" s="17"/>
      <c r="D46" s="5"/>
      <c r="E46" s="5"/>
      <c r="F46" s="13"/>
      <c r="G46" s="7"/>
      <c r="H46" s="7"/>
      <c r="I46" s="13"/>
    </row>
    <row r="47" ht="51" customHeight="1">
      <c r="A47" s="6" t="s">
        <v>219</v>
      </c>
      <c r="B47" s="6" t="s">
        <v>220</v>
      </c>
      <c r="C47" s="6" t="s">
        <v>221</v>
      </c>
      <c r="D47" s="5" t="s">
        <v>12</v>
      </c>
      <c r="E47" s="5" t="s">
        <v>12</v>
      </c>
      <c r="F47" s="5" t="s">
        <v>12</v>
      </c>
      <c r="G47" s="5" t="s">
        <v>12</v>
      </c>
      <c r="H47" s="5" t="s">
        <v>12</v>
      </c>
      <c r="I47" s="5" t="s">
        <v>12</v>
      </c>
    </row>
    <row r="48" ht="63.75" customHeight="1">
      <c r="A48" s="6" t="s">
        <v>222</v>
      </c>
      <c r="B48" s="6" t="s">
        <v>220</v>
      </c>
      <c r="C48" s="6" t="s">
        <v>221</v>
      </c>
      <c r="D48" s="5" t="s">
        <v>12</v>
      </c>
      <c r="E48" s="5" t="s">
        <v>12</v>
      </c>
      <c r="F48" s="5" t="s">
        <v>12</v>
      </c>
      <c r="G48" s="5" t="s">
        <v>12</v>
      </c>
      <c r="H48" s="5" t="s">
        <v>12</v>
      </c>
      <c r="I48" s="5" t="s">
        <v>12</v>
      </c>
    </row>
    <row r="49" ht="52.5" customHeight="1">
      <c r="A49" s="6" t="s">
        <v>223</v>
      </c>
      <c r="B49" s="6" t="s">
        <v>224</v>
      </c>
      <c r="C49" s="6" t="s">
        <v>225</v>
      </c>
      <c r="D49" s="5" t="s">
        <v>12</v>
      </c>
      <c r="E49" s="5" t="s">
        <v>12</v>
      </c>
      <c r="F49" s="5" t="s">
        <v>12</v>
      </c>
      <c r="G49" s="5" t="s">
        <v>12</v>
      </c>
      <c r="H49" s="5" t="s">
        <v>12</v>
      </c>
      <c r="I49" s="5" t="s">
        <v>12</v>
      </c>
    </row>
    <row r="50" ht="213.75" customHeight="1">
      <c r="A50" s="6" t="s">
        <v>226</v>
      </c>
      <c r="B50" s="6" t="s">
        <v>227</v>
      </c>
      <c r="C50" s="6" t="s">
        <v>228</v>
      </c>
      <c r="D50" s="5" t="s">
        <v>229</v>
      </c>
      <c r="E50" s="5" t="s">
        <v>230</v>
      </c>
      <c r="F50" s="13" t="s">
        <v>231</v>
      </c>
      <c r="G50" s="7" t="s">
        <v>12</v>
      </c>
      <c r="H50" s="7" t="s">
        <v>12</v>
      </c>
      <c r="I50" s="7" t="s">
        <v>232</v>
      </c>
    </row>
    <row r="51" ht="50.25" customHeight="1">
      <c r="A51" s="6" t="s">
        <v>233</v>
      </c>
      <c r="B51" s="6" t="s">
        <v>234</v>
      </c>
      <c r="C51" s="6" t="s">
        <v>235</v>
      </c>
      <c r="D51" s="5" t="s">
        <v>12</v>
      </c>
      <c r="E51" s="5" t="s">
        <v>12</v>
      </c>
      <c r="F51" s="5" t="s">
        <v>12</v>
      </c>
      <c r="G51" s="5" t="s">
        <v>236</v>
      </c>
      <c r="H51" s="5" t="s">
        <v>237</v>
      </c>
      <c r="I51" s="5" t="s">
        <v>12</v>
      </c>
    </row>
    <row r="52" ht="249.75" customHeight="1">
      <c r="A52" s="6" t="s">
        <v>238</v>
      </c>
      <c r="B52" s="6" t="s">
        <v>239</v>
      </c>
      <c r="C52" s="6" t="s">
        <v>125</v>
      </c>
      <c r="D52" s="5" t="s">
        <v>240</v>
      </c>
      <c r="E52" s="14" t="s">
        <v>241</v>
      </c>
      <c r="F52" s="7" t="s">
        <v>242</v>
      </c>
      <c r="G52" s="7" t="s">
        <v>243</v>
      </c>
      <c r="H52" s="12" t="s">
        <v>244</v>
      </c>
      <c r="I52" s="7" t="s">
        <v>245</v>
      </c>
    </row>
    <row r="53" ht="246" customHeight="1">
      <c r="A53" s="6" t="s">
        <v>246</v>
      </c>
      <c r="B53" s="6" t="s">
        <v>247</v>
      </c>
      <c r="C53" s="6" t="s">
        <v>57</v>
      </c>
      <c r="D53" s="7" t="s">
        <v>248</v>
      </c>
      <c r="E53" s="7" t="s">
        <v>249</v>
      </c>
      <c r="F53" s="11" t="s">
        <v>250</v>
      </c>
      <c r="G53" s="7" t="s">
        <v>251</v>
      </c>
      <c r="H53" s="7" t="s">
        <v>252</v>
      </c>
      <c r="I53" s="7" t="s">
        <v>253</v>
      </c>
    </row>
    <row r="54" ht="56.25" customHeight="1">
      <c r="A54" s="6" t="s">
        <v>254</v>
      </c>
      <c r="B54" s="6"/>
      <c r="C54" s="6" t="s">
        <v>169</v>
      </c>
      <c r="D54" s="7" t="s">
        <v>12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</row>
    <row r="55" ht="66" customHeight="1">
      <c r="A55" s="6" t="s">
        <v>255</v>
      </c>
      <c r="B55" s="6" t="s">
        <v>256</v>
      </c>
      <c r="C55" s="6" t="s">
        <v>125</v>
      </c>
      <c r="D55" s="5" t="s">
        <v>12</v>
      </c>
      <c r="E55" s="5" t="s">
        <v>12</v>
      </c>
      <c r="F55" s="5" t="s">
        <v>12</v>
      </c>
      <c r="G55" s="5" t="s">
        <v>12</v>
      </c>
      <c r="H55" s="5" t="s">
        <v>12</v>
      </c>
      <c r="I55" s="5" t="s">
        <v>12</v>
      </c>
    </row>
    <row r="56" ht="136.5" customHeight="1">
      <c r="A56" s="6" t="s">
        <v>257</v>
      </c>
      <c r="B56" s="6" t="s">
        <v>258</v>
      </c>
      <c r="C56" s="6" t="s">
        <v>39</v>
      </c>
      <c r="D56" s="5" t="s">
        <v>259</v>
      </c>
      <c r="E56" s="18" t="s">
        <v>260</v>
      </c>
      <c r="F56" s="7" t="s">
        <v>12</v>
      </c>
      <c r="G56" s="7" t="s">
        <v>12</v>
      </c>
      <c r="H56" s="7" t="s">
        <v>12</v>
      </c>
      <c r="I56" s="7" t="s">
        <v>261</v>
      </c>
    </row>
    <row r="57" ht="232.5" customHeight="1">
      <c r="A57" s="6" t="s">
        <v>262</v>
      </c>
      <c r="B57" s="6" t="s">
        <v>263</v>
      </c>
      <c r="C57" s="6" t="s">
        <v>39</v>
      </c>
      <c r="D57" s="5" t="s">
        <v>264</v>
      </c>
      <c r="E57" s="18" t="s">
        <v>265</v>
      </c>
      <c r="F57" s="11" t="s">
        <v>266</v>
      </c>
      <c r="G57" s="12" t="s">
        <v>12</v>
      </c>
      <c r="H57" s="12" t="s">
        <v>267</v>
      </c>
      <c r="I57" s="7" t="s">
        <v>268</v>
      </c>
    </row>
    <row r="58" ht="231.75" customHeight="1">
      <c r="A58" s="16" t="s">
        <v>269</v>
      </c>
      <c r="B58" s="16" t="s">
        <v>270</v>
      </c>
      <c r="C58" s="16" t="s">
        <v>39</v>
      </c>
      <c r="D58" s="5" t="s">
        <v>264</v>
      </c>
      <c r="E58" s="18" t="s">
        <v>265</v>
      </c>
      <c r="F58" s="11" t="s">
        <v>266</v>
      </c>
      <c r="G58" s="12" t="s">
        <v>12</v>
      </c>
      <c r="H58" s="12" t="s">
        <v>267</v>
      </c>
      <c r="I58" s="7" t="s">
        <v>268</v>
      </c>
    </row>
    <row r="59" ht="169.5" hidden="1" customHeight="1">
      <c r="A59" s="17"/>
      <c r="B59" s="17"/>
      <c r="C59" s="17"/>
      <c r="D59" s="5"/>
      <c r="E59" s="18"/>
      <c r="F59" s="11"/>
      <c r="G59" s="11"/>
      <c r="H59" s="18"/>
      <c r="I59" s="11"/>
    </row>
    <row r="60" ht="233.25" customHeight="1">
      <c r="A60" s="6" t="s">
        <v>271</v>
      </c>
      <c r="B60" s="6" t="s">
        <v>272</v>
      </c>
      <c r="C60" s="6" t="s">
        <v>39</v>
      </c>
      <c r="D60" s="5" t="s">
        <v>264</v>
      </c>
      <c r="E60" s="18" t="s">
        <v>265</v>
      </c>
      <c r="F60" s="11" t="s">
        <v>266</v>
      </c>
      <c r="G60" s="12" t="s">
        <v>12</v>
      </c>
      <c r="H60" s="12" t="s">
        <v>267</v>
      </c>
      <c r="I60" s="7" t="s">
        <v>268</v>
      </c>
    </row>
    <row r="61" ht="233.25" customHeight="1">
      <c r="A61" s="6" t="s">
        <v>273</v>
      </c>
      <c r="B61" s="6" t="s">
        <v>274</v>
      </c>
      <c r="C61" s="6" t="s">
        <v>39</v>
      </c>
      <c r="D61" s="5" t="s">
        <v>264</v>
      </c>
      <c r="E61" s="18" t="s">
        <v>265</v>
      </c>
      <c r="F61" s="11" t="s">
        <v>266</v>
      </c>
      <c r="G61" s="12" t="s">
        <v>12</v>
      </c>
      <c r="H61" s="12" t="s">
        <v>267</v>
      </c>
      <c r="I61" s="7" t="s">
        <v>268</v>
      </c>
    </row>
    <row r="62" ht="185.25">
      <c r="A62" s="6" t="s">
        <v>275</v>
      </c>
      <c r="B62" s="6" t="s">
        <v>276</v>
      </c>
      <c r="C62" s="6" t="s">
        <v>39</v>
      </c>
      <c r="D62" s="5" t="s">
        <v>264</v>
      </c>
      <c r="E62" s="18" t="s">
        <v>265</v>
      </c>
      <c r="F62" s="11" t="s">
        <v>266</v>
      </c>
      <c r="G62" s="12" t="s">
        <v>12</v>
      </c>
      <c r="H62" s="12" t="s">
        <v>267</v>
      </c>
      <c r="I62" s="7" t="s">
        <v>268</v>
      </c>
    </row>
    <row r="63" ht="121.5" customHeight="1">
      <c r="A63" s="6" t="s">
        <v>277</v>
      </c>
      <c r="B63" s="6" t="s">
        <v>278</v>
      </c>
      <c r="C63" s="6" t="s">
        <v>39</v>
      </c>
      <c r="D63" s="7" t="s">
        <v>279</v>
      </c>
      <c r="E63" s="7" t="s">
        <v>280</v>
      </c>
      <c r="F63" s="7" t="s">
        <v>12</v>
      </c>
      <c r="G63" s="7" t="s">
        <v>281</v>
      </c>
      <c r="H63" s="13" t="s">
        <v>12</v>
      </c>
      <c r="I63" s="7" t="s">
        <v>282</v>
      </c>
    </row>
    <row r="64" ht="45.75" customHeight="1">
      <c r="A64" s="6" t="s">
        <v>283</v>
      </c>
      <c r="B64" s="6" t="s">
        <v>284</v>
      </c>
      <c r="C64" s="6" t="s">
        <v>285</v>
      </c>
      <c r="D64" s="7" t="s">
        <v>12</v>
      </c>
      <c r="E64" s="7" t="s">
        <v>12</v>
      </c>
      <c r="F64" s="7" t="s">
        <v>12</v>
      </c>
      <c r="G64" s="7" t="s">
        <v>12</v>
      </c>
      <c r="H64" s="7" t="s">
        <v>12</v>
      </c>
      <c r="I64" s="7" t="s">
        <v>12</v>
      </c>
    </row>
    <row r="65" ht="181.5">
      <c r="A65" s="6" t="s">
        <v>286</v>
      </c>
      <c r="B65" s="6" t="s">
        <v>287</v>
      </c>
      <c r="C65" s="6" t="s">
        <v>288</v>
      </c>
      <c r="D65" s="7" t="s">
        <v>289</v>
      </c>
      <c r="E65" s="7" t="s">
        <v>290</v>
      </c>
      <c r="F65" s="7" t="s">
        <v>291</v>
      </c>
      <c r="G65" s="7" t="s">
        <v>292</v>
      </c>
      <c r="H65" s="7" t="s">
        <v>293</v>
      </c>
      <c r="I65" s="13" t="s">
        <v>294</v>
      </c>
    </row>
    <row r="66" ht="69.75" customHeight="1">
      <c r="A66" s="6" t="s">
        <v>295</v>
      </c>
      <c r="B66" s="6" t="s">
        <v>296</v>
      </c>
      <c r="C66" s="6" t="s">
        <v>179</v>
      </c>
      <c r="D66" s="5" t="s">
        <v>297</v>
      </c>
      <c r="E66" s="18" t="s">
        <v>298</v>
      </c>
      <c r="F66" s="7" t="s">
        <v>12</v>
      </c>
      <c r="G66" s="7" t="s">
        <v>12</v>
      </c>
      <c r="H66" s="7" t="s">
        <v>12</v>
      </c>
      <c r="I66" s="7" t="s">
        <v>12</v>
      </c>
    </row>
    <row r="67" ht="49.5">
      <c r="A67" s="6" t="s">
        <v>299</v>
      </c>
      <c r="B67" s="6" t="s">
        <v>300</v>
      </c>
      <c r="C67" s="6" t="s">
        <v>301</v>
      </c>
      <c r="D67" s="5" t="s">
        <v>12</v>
      </c>
      <c r="E67" s="5" t="s">
        <v>12</v>
      </c>
      <c r="F67" s="5" t="s">
        <v>12</v>
      </c>
      <c r="G67" s="5" t="s">
        <v>12</v>
      </c>
      <c r="H67" s="5" t="s">
        <v>12</v>
      </c>
      <c r="I67" s="5" t="s">
        <v>12</v>
      </c>
    </row>
    <row r="68" ht="312.75" customHeight="1">
      <c r="A68" s="6" t="s">
        <v>302</v>
      </c>
      <c r="B68" s="6" t="s">
        <v>303</v>
      </c>
      <c r="C68" s="6" t="s">
        <v>39</v>
      </c>
      <c r="D68" s="7" t="s">
        <v>304</v>
      </c>
      <c r="E68" s="12" t="s">
        <v>305</v>
      </c>
      <c r="F68" s="7" t="s">
        <v>306</v>
      </c>
      <c r="G68" s="7" t="s">
        <v>307</v>
      </c>
      <c r="H68" s="12" t="s">
        <v>308</v>
      </c>
      <c r="I68" s="7" t="s">
        <v>309</v>
      </c>
    </row>
    <row r="69" ht="313.5">
      <c r="A69" s="6" t="s">
        <v>310</v>
      </c>
      <c r="B69" s="6" t="s">
        <v>303</v>
      </c>
      <c r="C69" s="6" t="s">
        <v>39</v>
      </c>
      <c r="D69" s="7" t="s">
        <v>304</v>
      </c>
      <c r="E69" s="12" t="s">
        <v>305</v>
      </c>
      <c r="F69" s="7" t="s">
        <v>306</v>
      </c>
      <c r="G69" s="7" t="s">
        <v>307</v>
      </c>
      <c r="H69" s="12" t="s">
        <v>308</v>
      </c>
      <c r="I69" s="7" t="s">
        <v>309</v>
      </c>
    </row>
    <row r="70" ht="179.25" customHeight="1">
      <c r="A70" s="6" t="s">
        <v>311</v>
      </c>
      <c r="B70" s="6" t="s">
        <v>303</v>
      </c>
      <c r="C70" s="6" t="s">
        <v>39</v>
      </c>
      <c r="D70" s="7" t="s">
        <v>312</v>
      </c>
      <c r="E70" s="12" t="s">
        <v>305</v>
      </c>
      <c r="F70" s="7" t="s">
        <v>306</v>
      </c>
      <c r="G70" s="7" t="s">
        <v>307</v>
      </c>
      <c r="H70" s="12" t="s">
        <v>308</v>
      </c>
      <c r="I70" s="7" t="s">
        <v>309</v>
      </c>
    </row>
    <row r="71" ht="33">
      <c r="A71" s="6" t="s">
        <v>313</v>
      </c>
      <c r="B71" s="6" t="s">
        <v>314</v>
      </c>
      <c r="C71" s="6" t="s">
        <v>315</v>
      </c>
      <c r="D71" s="5" t="s">
        <v>12</v>
      </c>
      <c r="E71" s="5" t="s">
        <v>12</v>
      </c>
      <c r="F71" s="5" t="s">
        <v>12</v>
      </c>
      <c r="G71" s="5" t="s">
        <v>12</v>
      </c>
      <c r="H71" s="5" t="s">
        <v>12</v>
      </c>
      <c r="I71" s="5" t="s">
        <v>12</v>
      </c>
    </row>
    <row r="72" ht="132">
      <c r="A72" s="6" t="s">
        <v>316</v>
      </c>
      <c r="B72" s="6" t="s">
        <v>317</v>
      </c>
      <c r="C72" s="6" t="s">
        <v>318</v>
      </c>
      <c r="D72" s="5" t="s">
        <v>319</v>
      </c>
      <c r="E72" s="1" t="s">
        <v>320</v>
      </c>
      <c r="F72" s="1" t="s">
        <v>12</v>
      </c>
      <c r="G72" s="1" t="s">
        <v>12</v>
      </c>
      <c r="H72" s="11" t="s">
        <v>321</v>
      </c>
      <c r="I72" s="19" t="s">
        <v>128</v>
      </c>
    </row>
    <row r="73" ht="46.5" customHeight="1">
      <c r="A73" s="6" t="s">
        <v>322</v>
      </c>
      <c r="B73" s="6"/>
      <c r="C73" s="6" t="s">
        <v>323</v>
      </c>
      <c r="D73" s="7" t="s">
        <v>12</v>
      </c>
      <c r="E73" s="7" t="s">
        <v>12</v>
      </c>
      <c r="F73" s="7" t="s">
        <v>12</v>
      </c>
      <c r="G73" s="7" t="s">
        <v>12</v>
      </c>
      <c r="H73" s="7" t="s">
        <v>12</v>
      </c>
      <c r="I73" s="7" t="s">
        <v>12</v>
      </c>
    </row>
    <row r="74" ht="115.5">
      <c r="A74" s="6" t="s">
        <v>324</v>
      </c>
      <c r="B74" s="6" t="s">
        <v>325</v>
      </c>
      <c r="C74" s="6" t="s">
        <v>326</v>
      </c>
      <c r="D74" s="5" t="s">
        <v>327</v>
      </c>
      <c r="E74" s="1" t="s">
        <v>328</v>
      </c>
      <c r="F74" s="7" t="s">
        <v>12</v>
      </c>
      <c r="G74" s="7" t="s">
        <v>12</v>
      </c>
      <c r="H74" s="7" t="s">
        <v>12</v>
      </c>
      <c r="I74" s="11" t="s">
        <v>128</v>
      </c>
    </row>
    <row r="75" ht="115.5">
      <c r="A75" s="6" t="s">
        <v>329</v>
      </c>
      <c r="B75" s="6" t="s">
        <v>325</v>
      </c>
      <c r="C75" s="6" t="s">
        <v>326</v>
      </c>
      <c r="D75" s="5" t="s">
        <v>327</v>
      </c>
      <c r="E75" s="1" t="s">
        <v>328</v>
      </c>
      <c r="F75" s="7" t="s">
        <v>12</v>
      </c>
      <c r="G75" s="7" t="s">
        <v>12</v>
      </c>
      <c r="H75" s="7" t="s">
        <v>12</v>
      </c>
      <c r="I75" s="11" t="s">
        <v>128</v>
      </c>
    </row>
    <row r="76" ht="165" customHeight="1">
      <c r="A76" s="6" t="s">
        <v>330</v>
      </c>
      <c r="B76" s="6" t="s">
        <v>331</v>
      </c>
      <c r="C76" s="6" t="s">
        <v>332</v>
      </c>
      <c r="D76" s="5" t="s">
        <v>333</v>
      </c>
      <c r="E76" s="11" t="s">
        <v>334</v>
      </c>
      <c r="F76" s="11" t="s">
        <v>335</v>
      </c>
      <c r="G76" s="7" t="s">
        <v>12</v>
      </c>
      <c r="H76" s="1" t="s">
        <v>336</v>
      </c>
      <c r="I76" s="11" t="s">
        <v>337</v>
      </c>
    </row>
    <row r="77" ht="168.75" customHeight="1">
      <c r="A77" s="6" t="s">
        <v>338</v>
      </c>
      <c r="B77" s="6" t="s">
        <v>331</v>
      </c>
      <c r="C77" s="6" t="s">
        <v>332</v>
      </c>
      <c r="D77" s="5" t="s">
        <v>333</v>
      </c>
      <c r="E77" s="11" t="s">
        <v>334</v>
      </c>
      <c r="F77" s="11" t="s">
        <v>335</v>
      </c>
      <c r="G77" s="7" t="s">
        <v>12</v>
      </c>
      <c r="H77" s="1" t="s">
        <v>336</v>
      </c>
      <c r="I77" s="11" t="s">
        <v>337</v>
      </c>
    </row>
    <row r="78" ht="171" customHeight="1">
      <c r="A78" s="6" t="s">
        <v>339</v>
      </c>
      <c r="B78" s="6" t="s">
        <v>331</v>
      </c>
      <c r="C78" s="6" t="s">
        <v>332</v>
      </c>
      <c r="D78" s="5" t="s">
        <v>333</v>
      </c>
      <c r="E78" s="11" t="s">
        <v>334</v>
      </c>
      <c r="F78" s="11" t="s">
        <v>335</v>
      </c>
      <c r="G78" s="7" t="s">
        <v>12</v>
      </c>
      <c r="H78" s="1" t="s">
        <v>336</v>
      </c>
      <c r="I78" s="11" t="s">
        <v>337</v>
      </c>
    </row>
    <row r="79" ht="156" customHeight="1">
      <c r="A79" s="6" t="s">
        <v>340</v>
      </c>
      <c r="B79" s="6" t="s">
        <v>341</v>
      </c>
      <c r="C79" s="6" t="s">
        <v>125</v>
      </c>
      <c r="D79" s="5" t="s">
        <v>342</v>
      </c>
      <c r="E79" s="11" t="s">
        <v>343</v>
      </c>
      <c r="F79" s="1" t="s">
        <v>344</v>
      </c>
      <c r="G79" s="7" t="s">
        <v>12</v>
      </c>
      <c r="H79" s="11" t="s">
        <v>345</v>
      </c>
      <c r="I79" s="11" t="s">
        <v>346</v>
      </c>
    </row>
    <row r="80" ht="148.5">
      <c r="A80" s="6" t="s">
        <v>347</v>
      </c>
      <c r="B80" s="6" t="s">
        <v>341</v>
      </c>
      <c r="C80" s="6" t="s">
        <v>125</v>
      </c>
      <c r="D80" s="5" t="s">
        <v>342</v>
      </c>
      <c r="E80" s="11" t="s">
        <v>343</v>
      </c>
      <c r="F80" s="1" t="s">
        <v>344</v>
      </c>
      <c r="G80" s="7" t="s">
        <v>12</v>
      </c>
      <c r="H80" s="11" t="s">
        <v>345</v>
      </c>
      <c r="I80" s="11" t="s">
        <v>346</v>
      </c>
    </row>
    <row r="81" ht="144" customHeight="1">
      <c r="A81" s="6" t="s">
        <v>348</v>
      </c>
      <c r="B81" s="6" t="s">
        <v>349</v>
      </c>
      <c r="C81" s="6" t="s">
        <v>350</v>
      </c>
      <c r="D81" s="5" t="s">
        <v>351</v>
      </c>
      <c r="E81" s="11" t="s">
        <v>352</v>
      </c>
      <c r="F81" s="7" t="s">
        <v>12</v>
      </c>
      <c r="G81" s="7" t="s">
        <v>12</v>
      </c>
      <c r="H81" s="7" t="s">
        <v>12</v>
      </c>
      <c r="I81" s="11" t="s">
        <v>353</v>
      </c>
    </row>
    <row r="82" ht="132">
      <c r="A82" s="6" t="s">
        <v>354</v>
      </c>
      <c r="B82" s="6" t="s">
        <v>355</v>
      </c>
      <c r="C82" s="6" t="s">
        <v>323</v>
      </c>
      <c r="D82" s="11" t="s">
        <v>356</v>
      </c>
      <c r="E82" s="11" t="s">
        <v>357</v>
      </c>
      <c r="F82" s="11" t="s">
        <v>358</v>
      </c>
      <c r="G82" s="7" t="s">
        <v>12</v>
      </c>
      <c r="H82" s="7" t="s">
        <v>12</v>
      </c>
      <c r="I82" s="11" t="s">
        <v>359</v>
      </c>
    </row>
    <row r="83" ht="132">
      <c r="A83" s="6" t="s">
        <v>360</v>
      </c>
      <c r="B83" s="6" t="s">
        <v>355</v>
      </c>
      <c r="C83" s="6" t="s">
        <v>361</v>
      </c>
      <c r="D83" s="11" t="s">
        <v>356</v>
      </c>
      <c r="E83" s="11" t="s">
        <v>357</v>
      </c>
      <c r="F83" s="11" t="s">
        <v>358</v>
      </c>
      <c r="G83" s="7" t="s">
        <v>12</v>
      </c>
      <c r="H83" s="7" t="s">
        <v>12</v>
      </c>
      <c r="I83" s="11" t="s">
        <v>359</v>
      </c>
    </row>
    <row r="84" ht="106.5" customHeight="1">
      <c r="A84" s="6" t="s">
        <v>362</v>
      </c>
      <c r="B84" s="6" t="s">
        <v>363</v>
      </c>
      <c r="C84" s="6" t="s">
        <v>323</v>
      </c>
      <c r="D84" s="5" t="s">
        <v>12</v>
      </c>
      <c r="E84" s="5" t="s">
        <v>12</v>
      </c>
      <c r="F84" s="5" t="s">
        <v>12</v>
      </c>
      <c r="G84" s="5" t="s">
        <v>12</v>
      </c>
      <c r="H84" s="5" t="s">
        <v>12</v>
      </c>
      <c r="I84" s="5" t="s">
        <v>12</v>
      </c>
    </row>
    <row r="85" ht="115.5">
      <c r="A85" s="6" t="s">
        <v>364</v>
      </c>
      <c r="B85" s="6" t="s">
        <v>365</v>
      </c>
      <c r="C85" s="6" t="s">
        <v>366</v>
      </c>
      <c r="D85" s="11" t="s">
        <v>367</v>
      </c>
      <c r="E85" s="11" t="s">
        <v>368</v>
      </c>
      <c r="F85" s="7" t="s">
        <v>12</v>
      </c>
      <c r="G85" s="7" t="s">
        <v>12</v>
      </c>
      <c r="H85" s="7" t="s">
        <v>12</v>
      </c>
      <c r="I85" s="11" t="s">
        <v>369</v>
      </c>
    </row>
    <row r="86" ht="99">
      <c r="A86" s="6" t="s">
        <v>370</v>
      </c>
      <c r="B86" s="6" t="s">
        <v>371</v>
      </c>
      <c r="C86" s="6" t="s">
        <v>372</v>
      </c>
      <c r="D86" s="11" t="s">
        <v>373</v>
      </c>
      <c r="E86" s="11" t="s">
        <v>374</v>
      </c>
      <c r="F86" s="7" t="s">
        <v>242</v>
      </c>
      <c r="G86" s="7" t="s">
        <v>12</v>
      </c>
      <c r="H86" s="11" t="s">
        <v>375</v>
      </c>
      <c r="I86" s="7" t="s">
        <v>12</v>
      </c>
    </row>
    <row r="87" ht="66">
      <c r="A87" s="6" t="s">
        <v>376</v>
      </c>
      <c r="B87" s="6" t="s">
        <v>377</v>
      </c>
      <c r="C87" s="6" t="s">
        <v>378</v>
      </c>
      <c r="D87" s="20" t="s">
        <v>379</v>
      </c>
      <c r="E87" s="11" t="s">
        <v>380</v>
      </c>
      <c r="F87" s="11" t="s">
        <v>381</v>
      </c>
      <c r="G87" s="7" t="s">
        <v>12</v>
      </c>
      <c r="H87" s="11" t="s">
        <v>382</v>
      </c>
      <c r="I87" s="7" t="s">
        <v>12</v>
      </c>
    </row>
    <row r="88" ht="181.5">
      <c r="A88" s="6" t="s">
        <v>383</v>
      </c>
      <c r="B88" s="6" t="s">
        <v>384</v>
      </c>
      <c r="C88" s="6" t="s">
        <v>385</v>
      </c>
      <c r="D88" s="21" t="s">
        <v>386</v>
      </c>
      <c r="E88" s="11" t="s">
        <v>387</v>
      </c>
      <c r="F88" s="11" t="s">
        <v>388</v>
      </c>
      <c r="G88" s="11" t="s">
        <v>199</v>
      </c>
      <c r="H88" s="7" t="s">
        <v>12</v>
      </c>
      <c r="I88" s="11" t="s">
        <v>389</v>
      </c>
    </row>
    <row r="89" ht="181.5">
      <c r="A89" s="6" t="s">
        <v>390</v>
      </c>
      <c r="B89" s="6" t="s">
        <v>384</v>
      </c>
      <c r="C89" s="6" t="s">
        <v>385</v>
      </c>
      <c r="D89" s="21" t="s">
        <v>386</v>
      </c>
      <c r="E89" s="11" t="s">
        <v>387</v>
      </c>
      <c r="F89" s="11" t="s">
        <v>388</v>
      </c>
      <c r="G89" s="11" t="s">
        <v>199</v>
      </c>
      <c r="H89" s="7" t="s">
        <v>12</v>
      </c>
      <c r="I89" s="11" t="s">
        <v>389</v>
      </c>
    </row>
    <row r="90" ht="33">
      <c r="A90" s="6" t="s">
        <v>391</v>
      </c>
      <c r="B90" s="6" t="s">
        <v>392</v>
      </c>
      <c r="C90" s="6" t="s">
        <v>393</v>
      </c>
      <c r="D90" s="5" t="s">
        <v>12</v>
      </c>
      <c r="E90" s="5" t="s">
        <v>12</v>
      </c>
      <c r="F90" s="5" t="s">
        <v>12</v>
      </c>
      <c r="G90" s="5" t="s">
        <v>12</v>
      </c>
      <c r="H90" s="5" t="s">
        <v>12</v>
      </c>
      <c r="I90" s="5" t="s">
        <v>12</v>
      </c>
    </row>
    <row r="91" ht="115.5">
      <c r="A91" s="6" t="s">
        <v>394</v>
      </c>
      <c r="B91" s="6" t="s">
        <v>395</v>
      </c>
      <c r="C91" s="6" t="s">
        <v>215</v>
      </c>
      <c r="D91" s="7" t="s">
        <v>396</v>
      </c>
      <c r="E91" s="7" t="s">
        <v>397</v>
      </c>
      <c r="F91" s="7" t="s">
        <v>398</v>
      </c>
      <c r="G91" s="7" t="s">
        <v>399</v>
      </c>
      <c r="H91" s="7" t="s">
        <v>400</v>
      </c>
      <c r="I91" s="7" t="s">
        <v>401</v>
      </c>
    </row>
    <row r="92" ht="115.5">
      <c r="A92" s="6" t="s">
        <v>402</v>
      </c>
      <c r="B92" s="6" t="s">
        <v>395</v>
      </c>
      <c r="C92" s="6" t="s">
        <v>215</v>
      </c>
      <c r="D92" s="7" t="s">
        <v>396</v>
      </c>
      <c r="E92" s="7" t="s">
        <v>397</v>
      </c>
      <c r="F92" s="7" t="s">
        <v>398</v>
      </c>
      <c r="G92" s="7" t="s">
        <v>399</v>
      </c>
      <c r="H92" s="7" t="s">
        <v>400</v>
      </c>
      <c r="I92" s="7" t="s">
        <v>401</v>
      </c>
    </row>
    <row r="93" ht="115.5">
      <c r="A93" s="6" t="s">
        <v>403</v>
      </c>
      <c r="B93" s="6" t="s">
        <v>395</v>
      </c>
      <c r="C93" s="6" t="s">
        <v>215</v>
      </c>
      <c r="D93" s="7" t="s">
        <v>396</v>
      </c>
      <c r="E93" s="7" t="s">
        <v>397</v>
      </c>
      <c r="F93" s="7" t="s">
        <v>398</v>
      </c>
      <c r="G93" s="7" t="s">
        <v>399</v>
      </c>
      <c r="H93" s="7" t="s">
        <v>400</v>
      </c>
      <c r="I93" s="7" t="s">
        <v>401</v>
      </c>
    </row>
    <row r="94" ht="165">
      <c r="A94" s="6" t="s">
        <v>404</v>
      </c>
      <c r="B94" s="6" t="s">
        <v>405</v>
      </c>
      <c r="C94" s="6" t="s">
        <v>288</v>
      </c>
      <c r="D94" s="7" t="s">
        <v>406</v>
      </c>
      <c r="E94" s="13" t="s">
        <v>407</v>
      </c>
      <c r="F94" s="7" t="s">
        <v>408</v>
      </c>
      <c r="G94" s="7" t="s">
        <v>409</v>
      </c>
      <c r="H94" s="7" t="s">
        <v>410</v>
      </c>
      <c r="I94" s="7" t="s">
        <v>411</v>
      </c>
    </row>
    <row r="95" ht="165">
      <c r="A95" s="6" t="s">
        <v>412</v>
      </c>
      <c r="B95" s="6" t="s">
        <v>413</v>
      </c>
      <c r="C95" s="6" t="s">
        <v>288</v>
      </c>
      <c r="D95" s="7" t="s">
        <v>414</v>
      </c>
      <c r="E95" s="13" t="s">
        <v>407</v>
      </c>
      <c r="F95" s="7" t="s">
        <v>408</v>
      </c>
      <c r="G95" s="7" t="s">
        <v>409</v>
      </c>
      <c r="H95" s="7" t="s">
        <v>410</v>
      </c>
      <c r="I95" s="7" t="s">
        <v>411</v>
      </c>
    </row>
    <row r="96" ht="180.75" customHeight="1">
      <c r="A96" s="6" t="s">
        <v>415</v>
      </c>
      <c r="B96" s="6" t="s">
        <v>416</v>
      </c>
      <c r="C96" s="6" t="s">
        <v>417</v>
      </c>
      <c r="D96" s="7" t="s">
        <v>418</v>
      </c>
      <c r="E96" s="7" t="s">
        <v>419</v>
      </c>
      <c r="F96" s="7" t="s">
        <v>420</v>
      </c>
      <c r="G96" s="7" t="s">
        <v>421</v>
      </c>
      <c r="H96" s="7" t="s">
        <v>422</v>
      </c>
      <c r="I96" s="7" t="s">
        <v>423</v>
      </c>
    </row>
    <row r="97" ht="99">
      <c r="A97" s="6" t="s">
        <v>424</v>
      </c>
      <c r="B97" s="6" t="s">
        <v>425</v>
      </c>
      <c r="C97" s="6" t="s">
        <v>426</v>
      </c>
      <c r="D97" s="7" t="s">
        <v>427</v>
      </c>
      <c r="E97" s="22" t="s">
        <v>12</v>
      </c>
      <c r="F97" s="7" t="s">
        <v>428</v>
      </c>
      <c r="G97" s="7" t="s">
        <v>429</v>
      </c>
      <c r="H97" s="12" t="s">
        <v>345</v>
      </c>
      <c r="I97" s="7" t="s">
        <v>423</v>
      </c>
    </row>
    <row r="98" ht="148.5">
      <c r="A98" s="6" t="s">
        <v>430</v>
      </c>
      <c r="B98" s="6" t="s">
        <v>431</v>
      </c>
      <c r="C98" s="6" t="s">
        <v>432</v>
      </c>
      <c r="D98" s="11" t="s">
        <v>433</v>
      </c>
      <c r="E98" s="1" t="s">
        <v>434</v>
      </c>
      <c r="F98" s="22" t="s">
        <v>12</v>
      </c>
      <c r="G98" s="22" t="s">
        <v>12</v>
      </c>
      <c r="H98" s="22" t="s">
        <v>12</v>
      </c>
      <c r="I98" s="11" t="s">
        <v>435</v>
      </c>
    </row>
    <row r="99" ht="148.5">
      <c r="A99" s="6" t="s">
        <v>436</v>
      </c>
      <c r="B99" s="6" t="s">
        <v>431</v>
      </c>
      <c r="C99" s="6" t="s">
        <v>432</v>
      </c>
      <c r="D99" s="11" t="s">
        <v>433</v>
      </c>
      <c r="E99" s="1" t="s">
        <v>434</v>
      </c>
      <c r="F99" s="22" t="s">
        <v>12</v>
      </c>
      <c r="G99" s="22" t="s">
        <v>12</v>
      </c>
      <c r="H99" s="22" t="s">
        <v>12</v>
      </c>
      <c r="I99" s="11" t="s">
        <v>435</v>
      </c>
    </row>
    <row r="100" ht="165">
      <c r="A100" s="6" t="s">
        <v>437</v>
      </c>
      <c r="B100" s="6" t="s">
        <v>438</v>
      </c>
      <c r="C100" s="6" t="s">
        <v>439</v>
      </c>
      <c r="D100" s="1" t="s">
        <v>440</v>
      </c>
      <c r="E100" s="22" t="s">
        <v>12</v>
      </c>
      <c r="F100" s="22" t="s">
        <v>12</v>
      </c>
      <c r="G100" s="22" t="s">
        <v>12</v>
      </c>
      <c r="H100" s="11" t="s">
        <v>441</v>
      </c>
      <c r="I100" s="11" t="s">
        <v>442</v>
      </c>
    </row>
    <row r="101" ht="165">
      <c r="A101" s="6" t="s">
        <v>443</v>
      </c>
      <c r="B101" s="6" t="s">
        <v>438</v>
      </c>
      <c r="C101" s="6" t="s">
        <v>439</v>
      </c>
      <c r="D101" s="1" t="s">
        <v>440</v>
      </c>
      <c r="E101" s="22" t="s">
        <v>12</v>
      </c>
      <c r="F101" s="22" t="s">
        <v>12</v>
      </c>
      <c r="G101" s="22" t="s">
        <v>12</v>
      </c>
      <c r="H101" s="11" t="s">
        <v>441</v>
      </c>
      <c r="I101" s="11" t="s">
        <v>442</v>
      </c>
    </row>
    <row r="102" ht="33">
      <c r="A102" s="6" t="s">
        <v>444</v>
      </c>
      <c r="B102" s="6" t="s">
        <v>445</v>
      </c>
      <c r="C102" s="6" t="s">
        <v>446</v>
      </c>
      <c r="D102" s="5" t="s">
        <v>12</v>
      </c>
      <c r="E102" s="5" t="s">
        <v>12</v>
      </c>
      <c r="F102" s="5" t="s">
        <v>12</v>
      </c>
      <c r="G102" s="5" t="s">
        <v>12</v>
      </c>
      <c r="H102" s="5" t="s">
        <v>12</v>
      </c>
      <c r="I102" s="5" t="s">
        <v>12</v>
      </c>
    </row>
    <row r="103" ht="49.5">
      <c r="A103" s="6" t="s">
        <v>447</v>
      </c>
      <c r="B103" s="6" t="s">
        <v>448</v>
      </c>
      <c r="C103" s="6" t="s">
        <v>449</v>
      </c>
      <c r="D103" s="5" t="s">
        <v>12</v>
      </c>
      <c r="E103" s="5" t="s">
        <v>12</v>
      </c>
      <c r="F103" s="5" t="s">
        <v>12</v>
      </c>
      <c r="G103" s="5" t="s">
        <v>12</v>
      </c>
      <c r="H103" s="5" t="s">
        <v>12</v>
      </c>
      <c r="I103" s="5" t="s">
        <v>12</v>
      </c>
    </row>
    <row r="104" ht="51" customHeight="1">
      <c r="A104" s="6" t="s">
        <v>450</v>
      </c>
      <c r="B104" s="6" t="s">
        <v>448</v>
      </c>
      <c r="C104" s="6" t="s">
        <v>449</v>
      </c>
      <c r="D104" s="5" t="s">
        <v>12</v>
      </c>
      <c r="E104" s="5" t="s">
        <v>12</v>
      </c>
      <c r="F104" s="5" t="s">
        <v>12</v>
      </c>
      <c r="G104" s="5" t="s">
        <v>12</v>
      </c>
      <c r="H104" s="5" t="s">
        <v>12</v>
      </c>
      <c r="I104" s="5" t="s">
        <v>12</v>
      </c>
    </row>
    <row r="105" ht="47.25" customHeight="1">
      <c r="A105" s="6" t="s">
        <v>451</v>
      </c>
      <c r="B105" s="6" t="s">
        <v>448</v>
      </c>
      <c r="C105" s="6" t="s">
        <v>449</v>
      </c>
      <c r="D105" s="5" t="s">
        <v>12</v>
      </c>
      <c r="E105" s="5" t="s">
        <v>12</v>
      </c>
      <c r="F105" s="5" t="s">
        <v>12</v>
      </c>
      <c r="G105" s="5" t="s">
        <v>12</v>
      </c>
      <c r="H105" s="5" t="s">
        <v>12</v>
      </c>
      <c r="I105" s="5" t="s">
        <v>12</v>
      </c>
    </row>
    <row r="106" ht="56.25" customHeight="1">
      <c r="A106" s="6" t="s">
        <v>452</v>
      </c>
      <c r="B106" s="6" t="s">
        <v>448</v>
      </c>
      <c r="C106" s="6" t="s">
        <v>449</v>
      </c>
      <c r="D106" s="5" t="s">
        <v>12</v>
      </c>
      <c r="E106" s="5" t="s">
        <v>12</v>
      </c>
      <c r="F106" s="5" t="s">
        <v>12</v>
      </c>
      <c r="G106" s="5" t="s">
        <v>12</v>
      </c>
      <c r="H106" s="5" t="s">
        <v>12</v>
      </c>
      <c r="I106" s="5" t="s">
        <v>12</v>
      </c>
    </row>
    <row r="107" ht="115.5">
      <c r="A107" s="6" t="s">
        <v>453</v>
      </c>
      <c r="B107" s="6" t="s">
        <v>454</v>
      </c>
      <c r="C107" s="6" t="s">
        <v>455</v>
      </c>
      <c r="D107" s="5" t="s">
        <v>456</v>
      </c>
      <c r="E107" s="5" t="s">
        <v>12</v>
      </c>
      <c r="F107" s="5" t="s">
        <v>12</v>
      </c>
      <c r="G107" s="5" t="s">
        <v>12</v>
      </c>
      <c r="H107" s="5" t="s">
        <v>12</v>
      </c>
      <c r="I107" s="5" t="s">
        <v>12</v>
      </c>
    </row>
    <row r="108" ht="49.5">
      <c r="A108" s="6" t="s">
        <v>457</v>
      </c>
      <c r="B108" s="6" t="s">
        <v>458</v>
      </c>
      <c r="C108" s="6" t="s">
        <v>459</v>
      </c>
      <c r="D108" s="5" t="s">
        <v>12</v>
      </c>
      <c r="E108" s="5" t="s">
        <v>12</v>
      </c>
      <c r="F108" s="5" t="s">
        <v>12</v>
      </c>
      <c r="G108" s="5" t="s">
        <v>12</v>
      </c>
      <c r="H108" s="5" t="s">
        <v>12</v>
      </c>
      <c r="I108" s="5" t="s">
        <v>12</v>
      </c>
    </row>
    <row r="109" ht="33">
      <c r="A109" s="6" t="s">
        <v>460</v>
      </c>
      <c r="B109" s="6" t="s">
        <v>461</v>
      </c>
      <c r="C109" s="6" t="s">
        <v>459</v>
      </c>
      <c r="D109" s="5" t="s">
        <v>12</v>
      </c>
      <c r="E109" s="5" t="s">
        <v>12</v>
      </c>
      <c r="F109" s="5" t="s">
        <v>12</v>
      </c>
      <c r="G109" s="5" t="s">
        <v>12</v>
      </c>
      <c r="H109" s="5" t="s">
        <v>12</v>
      </c>
      <c r="I109" s="5" t="s">
        <v>12</v>
      </c>
    </row>
    <row r="110" ht="33">
      <c r="A110" s="6" t="s">
        <v>462</v>
      </c>
      <c r="B110" s="6" t="s">
        <v>463</v>
      </c>
      <c r="C110" s="6" t="s">
        <v>459</v>
      </c>
      <c r="D110" s="5" t="s">
        <v>12</v>
      </c>
      <c r="E110" s="5" t="s">
        <v>12</v>
      </c>
      <c r="F110" s="5" t="s">
        <v>12</v>
      </c>
      <c r="G110" s="5" t="s">
        <v>12</v>
      </c>
      <c r="H110" s="5" t="s">
        <v>12</v>
      </c>
      <c r="I110" s="5" t="s">
        <v>12</v>
      </c>
    </row>
    <row r="111" ht="33">
      <c r="A111" s="6" t="s">
        <v>464</v>
      </c>
      <c r="B111" s="6" t="s">
        <v>465</v>
      </c>
      <c r="C111" s="6" t="s">
        <v>221</v>
      </c>
      <c r="D111" s="5" t="s">
        <v>12</v>
      </c>
      <c r="E111" s="5" t="s">
        <v>12</v>
      </c>
      <c r="F111" s="5" t="s">
        <v>12</v>
      </c>
      <c r="G111" s="5" t="s">
        <v>12</v>
      </c>
      <c r="H111" s="5" t="s">
        <v>12</v>
      </c>
      <c r="I111" s="5" t="s">
        <v>12</v>
      </c>
    </row>
    <row r="112" ht="214.5">
      <c r="A112" s="6" t="s">
        <v>466</v>
      </c>
      <c r="B112" s="6" t="s">
        <v>467</v>
      </c>
      <c r="C112" s="6" t="s">
        <v>125</v>
      </c>
      <c r="D112" s="11" t="s">
        <v>468</v>
      </c>
      <c r="E112" s="11" t="s">
        <v>469</v>
      </c>
      <c r="F112" s="11" t="s">
        <v>470</v>
      </c>
      <c r="G112" s="1" t="s">
        <v>12</v>
      </c>
      <c r="H112" s="11" t="s">
        <v>471</v>
      </c>
      <c r="I112" s="11" t="s">
        <v>472</v>
      </c>
    </row>
    <row r="113" ht="214.5">
      <c r="A113" s="6" t="s">
        <v>473</v>
      </c>
      <c r="B113" s="6" t="s">
        <v>467</v>
      </c>
      <c r="C113" s="6" t="s">
        <v>125</v>
      </c>
      <c r="D113" s="11" t="s">
        <v>468</v>
      </c>
      <c r="E113" s="11" t="s">
        <v>469</v>
      </c>
      <c r="F113" s="11" t="s">
        <v>470</v>
      </c>
      <c r="G113" s="1" t="s">
        <v>12</v>
      </c>
      <c r="H113" s="11" t="s">
        <v>471</v>
      </c>
      <c r="I113" s="11" t="s">
        <v>472</v>
      </c>
    </row>
    <row r="114" ht="165">
      <c r="A114" s="6" t="s">
        <v>474</v>
      </c>
      <c r="B114" s="6" t="s">
        <v>475</v>
      </c>
      <c r="C114" s="6" t="s">
        <v>476</v>
      </c>
      <c r="D114" s="11" t="s">
        <v>477</v>
      </c>
      <c r="E114" s="11" t="s">
        <v>478</v>
      </c>
      <c r="F114" s="11" t="s">
        <v>479</v>
      </c>
      <c r="G114" s="1" t="s">
        <v>12</v>
      </c>
      <c r="H114" s="1" t="s">
        <v>12</v>
      </c>
      <c r="I114" s="1" t="s">
        <v>12</v>
      </c>
    </row>
    <row r="115" ht="168.75" customHeight="1">
      <c r="A115" s="6" t="s">
        <v>480</v>
      </c>
      <c r="B115" s="6" t="s">
        <v>475</v>
      </c>
      <c r="C115" s="6" t="s">
        <v>476</v>
      </c>
      <c r="D115" s="11" t="s">
        <v>477</v>
      </c>
      <c r="E115" s="11" t="s">
        <v>478</v>
      </c>
      <c r="F115" s="11" t="s">
        <v>479</v>
      </c>
      <c r="G115" s="1" t="s">
        <v>12</v>
      </c>
      <c r="H115" s="1" t="s">
        <v>12</v>
      </c>
      <c r="I115" s="1" t="s">
        <v>12</v>
      </c>
    </row>
    <row r="116" ht="165">
      <c r="A116" s="6" t="s">
        <v>481</v>
      </c>
      <c r="B116" s="6" t="s">
        <v>475</v>
      </c>
      <c r="C116" s="6" t="s">
        <v>476</v>
      </c>
      <c r="D116" s="11" t="s">
        <v>477</v>
      </c>
      <c r="E116" s="11" t="s">
        <v>478</v>
      </c>
      <c r="F116" s="11" t="s">
        <v>479</v>
      </c>
      <c r="G116" s="1" t="s">
        <v>12</v>
      </c>
      <c r="H116" s="1" t="s">
        <v>12</v>
      </c>
      <c r="I116" s="1" t="s">
        <v>12</v>
      </c>
    </row>
    <row r="117" ht="165">
      <c r="A117" s="6" t="s">
        <v>482</v>
      </c>
      <c r="B117" s="6" t="s">
        <v>475</v>
      </c>
      <c r="C117" s="6" t="s">
        <v>476</v>
      </c>
      <c r="D117" s="11" t="s">
        <v>477</v>
      </c>
      <c r="E117" s="11" t="s">
        <v>478</v>
      </c>
      <c r="F117" s="11" t="s">
        <v>479</v>
      </c>
      <c r="G117" s="1" t="s">
        <v>12</v>
      </c>
      <c r="H117" s="1" t="s">
        <v>12</v>
      </c>
      <c r="I117" s="1" t="s">
        <v>12</v>
      </c>
    </row>
    <row r="118" ht="132.75" customHeight="1">
      <c r="A118" s="6" t="s">
        <v>483</v>
      </c>
      <c r="B118" s="6" t="s">
        <v>484</v>
      </c>
      <c r="C118" s="6" t="s">
        <v>485</v>
      </c>
      <c r="D118" s="11" t="s">
        <v>486</v>
      </c>
      <c r="E118" s="11" t="s">
        <v>487</v>
      </c>
      <c r="F118" s="11" t="s">
        <v>488</v>
      </c>
      <c r="G118" s="11"/>
      <c r="H118" s="11" t="s">
        <v>489</v>
      </c>
    </row>
    <row r="119">
      <c r="A119" s="6" t="s">
        <v>490</v>
      </c>
      <c r="B119" s="6" t="s">
        <v>491</v>
      </c>
      <c r="C119" s="6" t="s">
        <v>39</v>
      </c>
      <c r="D119" s="5" t="s">
        <v>12</v>
      </c>
      <c r="E119" s="11" t="s">
        <v>492</v>
      </c>
      <c r="F119" s="5" t="s">
        <v>12</v>
      </c>
      <c r="G119" s="5" t="s">
        <v>12</v>
      </c>
      <c r="H119" s="5" t="s">
        <v>12</v>
      </c>
      <c r="I119" s="5" t="s">
        <v>12</v>
      </c>
    </row>
    <row r="120" ht="49.5">
      <c r="A120" s="6" t="s">
        <v>493</v>
      </c>
      <c r="B120" s="6" t="s">
        <v>494</v>
      </c>
      <c r="C120" s="6" t="s">
        <v>495</v>
      </c>
      <c r="D120" s="5" t="s">
        <v>12</v>
      </c>
      <c r="E120" s="5" t="s">
        <v>12</v>
      </c>
      <c r="F120" s="5" t="s">
        <v>12</v>
      </c>
      <c r="G120" s="5" t="s">
        <v>12</v>
      </c>
      <c r="H120" s="5" t="s">
        <v>12</v>
      </c>
      <c r="I120" s="5" t="s">
        <v>12</v>
      </c>
    </row>
    <row r="121" ht="49.5" customHeight="1">
      <c r="A121" s="6" t="s">
        <v>496</v>
      </c>
      <c r="B121" s="6" t="s">
        <v>494</v>
      </c>
      <c r="C121" s="6" t="s">
        <v>495</v>
      </c>
      <c r="D121" s="5" t="s">
        <v>12</v>
      </c>
      <c r="E121" s="5" t="s">
        <v>12</v>
      </c>
      <c r="F121" s="5" t="s">
        <v>12</v>
      </c>
      <c r="G121" s="5" t="s">
        <v>12</v>
      </c>
      <c r="H121" s="5" t="s">
        <v>12</v>
      </c>
      <c r="I121" s="5" t="s">
        <v>12</v>
      </c>
    </row>
    <row r="122" ht="49.5">
      <c r="A122" s="6" t="s">
        <v>497</v>
      </c>
      <c r="B122" s="6" t="s">
        <v>498</v>
      </c>
      <c r="C122" s="6" t="s">
        <v>495</v>
      </c>
      <c r="D122" s="5" t="s">
        <v>12</v>
      </c>
      <c r="E122" s="5" t="s">
        <v>12</v>
      </c>
      <c r="F122" s="5" t="s">
        <v>12</v>
      </c>
      <c r="G122" s="5" t="s">
        <v>12</v>
      </c>
      <c r="H122" s="5" t="s">
        <v>12</v>
      </c>
      <c r="I122" s="5" t="s">
        <v>12</v>
      </c>
    </row>
    <row r="123" ht="67.5" customHeight="1">
      <c r="A123" s="6" t="s">
        <v>499</v>
      </c>
      <c r="B123" s="6" t="s">
        <v>498</v>
      </c>
      <c r="C123" s="6" t="s">
        <v>495</v>
      </c>
      <c r="D123" s="5" t="s">
        <v>12</v>
      </c>
      <c r="E123" s="5" t="s">
        <v>12</v>
      </c>
      <c r="F123" s="5" t="s">
        <v>12</v>
      </c>
      <c r="G123" s="5" t="s">
        <v>12</v>
      </c>
      <c r="H123" s="5" t="s">
        <v>12</v>
      </c>
      <c r="I123" s="5" t="s">
        <v>12</v>
      </c>
    </row>
    <row r="124" ht="49.5">
      <c r="A124" s="6" t="s">
        <v>500</v>
      </c>
      <c r="B124" s="6" t="s">
        <v>498</v>
      </c>
      <c r="C124" s="6" t="s">
        <v>495</v>
      </c>
      <c r="D124" s="5" t="s">
        <v>12</v>
      </c>
      <c r="E124" s="5" t="s">
        <v>12</v>
      </c>
      <c r="F124" s="5" t="s">
        <v>12</v>
      </c>
      <c r="G124" s="5" t="s">
        <v>12</v>
      </c>
      <c r="H124" s="5" t="s">
        <v>12</v>
      </c>
      <c r="I124" s="5" t="s">
        <v>12</v>
      </c>
    </row>
    <row r="125" ht="132" customHeight="1">
      <c r="A125" s="16" t="s">
        <v>501</v>
      </c>
      <c r="B125" s="16" t="s">
        <v>502</v>
      </c>
      <c r="C125" s="16" t="s">
        <v>503</v>
      </c>
      <c r="D125" s="11" t="s">
        <v>504</v>
      </c>
      <c r="E125" s="11" t="s">
        <v>505</v>
      </c>
      <c r="F125" s="11" t="s">
        <v>506</v>
      </c>
      <c r="G125" s="1" t="s">
        <v>12</v>
      </c>
      <c r="H125" s="11" t="s">
        <v>507</v>
      </c>
      <c r="I125" s="11" t="s">
        <v>508</v>
      </c>
    </row>
    <row r="126" ht="33">
      <c r="A126" s="6" t="s">
        <v>509</v>
      </c>
      <c r="B126" s="6" t="s">
        <v>509</v>
      </c>
      <c r="C126" s="6" t="s">
        <v>510</v>
      </c>
      <c r="D126" s="5" t="s">
        <v>12</v>
      </c>
      <c r="E126" s="5" t="s">
        <v>12</v>
      </c>
      <c r="F126" s="5" t="s">
        <v>12</v>
      </c>
      <c r="G126" s="5" t="s">
        <v>12</v>
      </c>
      <c r="H126" s="5" t="s">
        <v>12</v>
      </c>
      <c r="I126" s="5" t="s">
        <v>12</v>
      </c>
    </row>
    <row r="127" ht="72" customHeight="1">
      <c r="A127" s="6" t="s">
        <v>511</v>
      </c>
      <c r="B127" s="6" t="s">
        <v>512</v>
      </c>
      <c r="C127" s="6" t="s">
        <v>513</v>
      </c>
      <c r="D127" s="5" t="s">
        <v>12</v>
      </c>
      <c r="E127" s="5" t="s">
        <v>12</v>
      </c>
      <c r="F127" s="5" t="s">
        <v>12</v>
      </c>
      <c r="G127" s="5" t="s">
        <v>12</v>
      </c>
      <c r="H127" s="5" t="s">
        <v>12</v>
      </c>
      <c r="I127" s="5" t="s">
        <v>12</v>
      </c>
    </row>
    <row r="128" ht="350.25" customHeight="1">
      <c r="A128" s="11" t="s">
        <v>514</v>
      </c>
      <c r="B128" s="6" t="s">
        <v>515</v>
      </c>
      <c r="C128" s="6" t="s">
        <v>57</v>
      </c>
      <c r="D128" s="7" t="s">
        <v>516</v>
      </c>
      <c r="E128" s="7" t="s">
        <v>517</v>
      </c>
      <c r="F128" s="7" t="s">
        <v>518</v>
      </c>
      <c r="G128" s="7" t="s">
        <v>519</v>
      </c>
      <c r="H128" s="7" t="s">
        <v>520</v>
      </c>
      <c r="I128" s="7" t="s">
        <v>521</v>
      </c>
    </row>
    <row r="129" ht="346.5">
      <c r="A129" s="6" t="s">
        <v>522</v>
      </c>
      <c r="B129" s="6" t="s">
        <v>515</v>
      </c>
      <c r="C129" s="6" t="s">
        <v>57</v>
      </c>
      <c r="D129" s="7" t="s">
        <v>516</v>
      </c>
      <c r="E129" s="7" t="s">
        <v>517</v>
      </c>
      <c r="F129" s="7" t="s">
        <v>518</v>
      </c>
      <c r="G129" s="7" t="s">
        <v>523</v>
      </c>
      <c r="H129" s="7" t="s">
        <v>520</v>
      </c>
      <c r="I129" s="7" t="s">
        <v>524</v>
      </c>
    </row>
    <row r="130" ht="264">
      <c r="A130" s="6" t="s">
        <v>525</v>
      </c>
      <c r="B130" s="6" t="s">
        <v>526</v>
      </c>
      <c r="C130" s="6" t="s">
        <v>57</v>
      </c>
      <c r="D130" s="7" t="s">
        <v>527</v>
      </c>
      <c r="E130" s="7" t="s">
        <v>528</v>
      </c>
      <c r="F130" s="7" t="s">
        <v>529</v>
      </c>
      <c r="G130" s="7" t="s">
        <v>530</v>
      </c>
      <c r="H130" s="7" t="s">
        <v>531</v>
      </c>
      <c r="I130" s="13" t="s">
        <v>12</v>
      </c>
    </row>
    <row r="131" ht="264">
      <c r="A131" s="6" t="s">
        <v>532</v>
      </c>
      <c r="B131" s="6" t="s">
        <v>526</v>
      </c>
      <c r="C131" s="6" t="s">
        <v>57</v>
      </c>
      <c r="D131" s="7" t="s">
        <v>527</v>
      </c>
      <c r="E131" s="7" t="s">
        <v>528</v>
      </c>
      <c r="F131" s="7" t="s">
        <v>529</v>
      </c>
      <c r="G131" s="7" t="s">
        <v>533</v>
      </c>
      <c r="H131" s="7" t="s">
        <v>531</v>
      </c>
      <c r="I131" s="13" t="s">
        <v>12</v>
      </c>
    </row>
    <row r="132" ht="49.5">
      <c r="A132" s="6" t="s">
        <v>534</v>
      </c>
      <c r="B132" s="6" t="s">
        <v>535</v>
      </c>
      <c r="C132" s="6" t="s">
        <v>104</v>
      </c>
      <c r="D132" s="5" t="s">
        <v>12</v>
      </c>
      <c r="E132" s="5" t="s">
        <v>12</v>
      </c>
      <c r="F132" s="5" t="s">
        <v>12</v>
      </c>
      <c r="G132" s="5" t="s">
        <v>12</v>
      </c>
      <c r="H132" s="5" t="s">
        <v>12</v>
      </c>
      <c r="I132" s="5" t="s">
        <v>12</v>
      </c>
    </row>
    <row r="133" ht="379.5">
      <c r="A133" s="6" t="s">
        <v>536</v>
      </c>
      <c r="B133" s="6" t="s">
        <v>537</v>
      </c>
      <c r="C133" s="6" t="s">
        <v>366</v>
      </c>
      <c r="D133" s="11" t="s">
        <v>538</v>
      </c>
      <c r="E133" s="11" t="s">
        <v>368</v>
      </c>
      <c r="F133" s="1" t="s">
        <v>12</v>
      </c>
      <c r="G133" s="1" t="s">
        <v>12</v>
      </c>
      <c r="H133" s="1" t="s">
        <v>12</v>
      </c>
      <c r="I133" s="1" t="s">
        <v>12</v>
      </c>
    </row>
    <row r="134" ht="181.5">
      <c r="A134" s="6" t="s">
        <v>539</v>
      </c>
      <c r="B134" s="6" t="s">
        <v>537</v>
      </c>
      <c r="C134" s="6" t="s">
        <v>366</v>
      </c>
      <c r="D134" s="11" t="s">
        <v>540</v>
      </c>
      <c r="E134" s="11" t="s">
        <v>368</v>
      </c>
      <c r="F134" s="1" t="s">
        <v>12</v>
      </c>
      <c r="G134" s="1" t="s">
        <v>12</v>
      </c>
      <c r="H134" s="1" t="s">
        <v>12</v>
      </c>
      <c r="I134" s="1" t="s">
        <v>12</v>
      </c>
    </row>
    <row r="135" ht="33">
      <c r="A135" s="6" t="s">
        <v>541</v>
      </c>
      <c r="B135" s="6" t="s">
        <v>542</v>
      </c>
      <c r="C135" s="6" t="s">
        <v>543</v>
      </c>
      <c r="D135" s="5" t="s">
        <v>12</v>
      </c>
      <c r="E135" s="5" t="s">
        <v>12</v>
      </c>
      <c r="F135" s="5" t="s">
        <v>12</v>
      </c>
      <c r="G135" s="5" t="s">
        <v>12</v>
      </c>
      <c r="H135" s="5" t="s">
        <v>12</v>
      </c>
      <c r="I135" s="5" t="s">
        <v>12</v>
      </c>
    </row>
    <row r="136" ht="33">
      <c r="A136" s="6" t="s">
        <v>544</v>
      </c>
      <c r="B136" s="6" t="s">
        <v>545</v>
      </c>
      <c r="C136" s="6" t="s">
        <v>546</v>
      </c>
      <c r="D136" s="5" t="s">
        <v>12</v>
      </c>
      <c r="E136" s="5" t="s">
        <v>12</v>
      </c>
      <c r="F136" s="5" t="s">
        <v>12</v>
      </c>
      <c r="G136" s="5" t="s">
        <v>12</v>
      </c>
      <c r="H136" s="5" t="s">
        <v>12</v>
      </c>
      <c r="I136" s="5" t="s">
        <v>12</v>
      </c>
    </row>
    <row r="137" ht="214.5">
      <c r="A137" s="6" t="s">
        <v>547</v>
      </c>
      <c r="B137" s="6" t="s">
        <v>548</v>
      </c>
      <c r="C137" s="6" t="s">
        <v>549</v>
      </c>
      <c r="D137" s="11" t="s">
        <v>550</v>
      </c>
      <c r="E137" s="11" t="s">
        <v>551</v>
      </c>
      <c r="F137" s="11" t="s">
        <v>552</v>
      </c>
      <c r="G137" s="11" t="s">
        <v>12</v>
      </c>
      <c r="H137" s="11" t="s">
        <v>553</v>
      </c>
      <c r="I137" s="5" t="s">
        <v>12</v>
      </c>
    </row>
    <row r="138" ht="214.5">
      <c r="A138" s="6" t="s">
        <v>554</v>
      </c>
      <c r="B138" s="6" t="s">
        <v>548</v>
      </c>
      <c r="C138" s="6" t="s">
        <v>549</v>
      </c>
      <c r="D138" s="11" t="s">
        <v>555</v>
      </c>
      <c r="E138" s="11" t="s">
        <v>551</v>
      </c>
      <c r="F138" s="11" t="s">
        <v>552</v>
      </c>
      <c r="G138" s="11" t="s">
        <v>12</v>
      </c>
      <c r="H138" s="11" t="s">
        <v>553</v>
      </c>
      <c r="I138" s="5" t="s">
        <v>12</v>
      </c>
    </row>
    <row r="139" ht="132">
      <c r="A139" s="6" t="s">
        <v>556</v>
      </c>
      <c r="B139" s="6" t="s">
        <v>557</v>
      </c>
      <c r="C139" s="6" t="s">
        <v>142</v>
      </c>
      <c r="D139" s="11" t="s">
        <v>558</v>
      </c>
      <c r="E139" s="11" t="s">
        <v>559</v>
      </c>
      <c r="F139" s="11" t="s">
        <v>560</v>
      </c>
      <c r="G139" s="11" t="s">
        <v>12</v>
      </c>
      <c r="H139" s="11" t="s">
        <v>561</v>
      </c>
      <c r="I139" s="5" t="s">
        <v>12</v>
      </c>
    </row>
    <row r="140" ht="132">
      <c r="A140" s="6" t="s">
        <v>562</v>
      </c>
      <c r="B140" s="6" t="s">
        <v>557</v>
      </c>
      <c r="C140" s="6" t="s">
        <v>142</v>
      </c>
      <c r="D140" s="11" t="s">
        <v>558</v>
      </c>
      <c r="E140" s="11" t="s">
        <v>559</v>
      </c>
      <c r="F140" s="11" t="s">
        <v>560</v>
      </c>
      <c r="G140" s="11" t="s">
        <v>12</v>
      </c>
      <c r="H140" s="11" t="s">
        <v>561</v>
      </c>
      <c r="I140" s="5" t="s">
        <v>12</v>
      </c>
    </row>
    <row r="141" ht="33">
      <c r="A141" s="6" t="s">
        <v>563</v>
      </c>
      <c r="B141" s="6" t="s">
        <v>564</v>
      </c>
      <c r="C141" s="6" t="s">
        <v>565</v>
      </c>
      <c r="D141" s="5" t="s">
        <v>12</v>
      </c>
      <c r="E141" s="5" t="s">
        <v>12</v>
      </c>
      <c r="F141" s="5" t="s">
        <v>12</v>
      </c>
      <c r="G141" s="5" t="s">
        <v>12</v>
      </c>
      <c r="H141" s="5" t="s">
        <v>12</v>
      </c>
      <c r="I141" s="5" t="s">
        <v>12</v>
      </c>
    </row>
    <row r="142" ht="33">
      <c r="A142" s="6" t="s">
        <v>566</v>
      </c>
      <c r="B142" s="6" t="s">
        <v>567</v>
      </c>
      <c r="C142" s="6" t="s">
        <v>568</v>
      </c>
      <c r="D142" s="5" t="s">
        <v>12</v>
      </c>
      <c r="E142" s="5" t="s">
        <v>12</v>
      </c>
      <c r="F142" s="5" t="s">
        <v>12</v>
      </c>
      <c r="G142" s="5" t="s">
        <v>12</v>
      </c>
      <c r="H142" s="5" t="s">
        <v>12</v>
      </c>
      <c r="I142" s="5" t="s">
        <v>12</v>
      </c>
    </row>
    <row r="143" ht="165">
      <c r="A143" s="6" t="s">
        <v>569</v>
      </c>
      <c r="B143" s="6" t="s">
        <v>570</v>
      </c>
      <c r="C143" s="6" t="s">
        <v>571</v>
      </c>
      <c r="D143" s="21" t="s">
        <v>572</v>
      </c>
      <c r="E143" s="11" t="s">
        <v>573</v>
      </c>
      <c r="F143" s="1" t="s">
        <v>12</v>
      </c>
      <c r="G143" s="1" t="s">
        <v>12</v>
      </c>
      <c r="H143" s="11" t="s">
        <v>574</v>
      </c>
      <c r="I143" s="11" t="s">
        <v>575</v>
      </c>
    </row>
    <row r="144" ht="119.25" customHeight="1">
      <c r="A144" s="6" t="s">
        <v>576</v>
      </c>
      <c r="B144" s="6" t="s">
        <v>577</v>
      </c>
      <c r="C144" s="6" t="s">
        <v>503</v>
      </c>
      <c r="D144" s="7" t="s">
        <v>578</v>
      </c>
      <c r="E144" s="12" t="s">
        <v>579</v>
      </c>
      <c r="F144" s="7" t="s">
        <v>580</v>
      </c>
      <c r="G144" s="7" t="s">
        <v>581</v>
      </c>
      <c r="H144" s="12" t="s">
        <v>582</v>
      </c>
      <c r="I144" s="7" t="s">
        <v>583</v>
      </c>
    </row>
    <row r="145" ht="165">
      <c r="A145" s="6" t="s">
        <v>584</v>
      </c>
      <c r="B145" s="6" t="s">
        <v>577</v>
      </c>
      <c r="C145" s="6" t="s">
        <v>503</v>
      </c>
      <c r="D145" s="7" t="s">
        <v>578</v>
      </c>
      <c r="E145" s="12" t="s">
        <v>579</v>
      </c>
      <c r="F145" s="7" t="s">
        <v>580</v>
      </c>
      <c r="G145" s="7" t="s">
        <v>581</v>
      </c>
      <c r="H145" s="12" t="s">
        <v>582</v>
      </c>
      <c r="I145" s="7" t="s">
        <v>583</v>
      </c>
    </row>
    <row r="146" ht="33">
      <c r="A146" s="6" t="s">
        <v>585</v>
      </c>
      <c r="B146" s="6" t="s">
        <v>586</v>
      </c>
      <c r="C146" s="6" t="s">
        <v>57</v>
      </c>
      <c r="D146" s="5" t="s">
        <v>12</v>
      </c>
      <c r="E146" s="5" t="s">
        <v>12</v>
      </c>
      <c r="F146" s="5" t="s">
        <v>12</v>
      </c>
      <c r="G146" s="5" t="s">
        <v>12</v>
      </c>
      <c r="H146" s="5" t="s">
        <v>12</v>
      </c>
      <c r="I146" s="5" t="s">
        <v>12</v>
      </c>
    </row>
    <row r="147" ht="86.25" customHeight="1">
      <c r="A147" s="6" t="s">
        <v>587</v>
      </c>
      <c r="B147" s="6" t="s">
        <v>588</v>
      </c>
      <c r="C147" s="6" t="s">
        <v>39</v>
      </c>
      <c r="D147" s="21" t="s">
        <v>589</v>
      </c>
      <c r="E147" s="11" t="s">
        <v>590</v>
      </c>
      <c r="F147" s="11" t="s">
        <v>591</v>
      </c>
      <c r="G147" s="1" t="s">
        <v>12</v>
      </c>
      <c r="H147" s="23" t="s">
        <v>592</v>
      </c>
      <c r="I147" s="1" t="s">
        <v>12</v>
      </c>
    </row>
    <row r="148" ht="115.5">
      <c r="A148" s="6" t="s">
        <v>593</v>
      </c>
      <c r="B148" s="6" t="s">
        <v>588</v>
      </c>
      <c r="C148" s="6" t="s">
        <v>39</v>
      </c>
      <c r="D148" s="21" t="s">
        <v>589</v>
      </c>
      <c r="E148" s="11" t="s">
        <v>590</v>
      </c>
      <c r="F148" s="11" t="s">
        <v>591</v>
      </c>
      <c r="G148" s="1" t="s">
        <v>12</v>
      </c>
      <c r="H148" s="23" t="s">
        <v>592</v>
      </c>
      <c r="I148" s="1" t="s">
        <v>12</v>
      </c>
    </row>
    <row r="149" ht="119.25" customHeight="1">
      <c r="A149" s="6" t="s">
        <v>594</v>
      </c>
      <c r="B149" s="6" t="s">
        <v>588</v>
      </c>
      <c r="C149" s="6" t="s">
        <v>39</v>
      </c>
      <c r="D149" s="21" t="s">
        <v>589</v>
      </c>
      <c r="E149" s="11" t="s">
        <v>590</v>
      </c>
      <c r="F149" s="11" t="s">
        <v>591</v>
      </c>
      <c r="G149" s="1" t="s">
        <v>12</v>
      </c>
      <c r="H149" s="23" t="s">
        <v>592</v>
      </c>
      <c r="I149" s="1" t="s">
        <v>12</v>
      </c>
    </row>
    <row r="150" ht="49.5">
      <c r="A150" s="6" t="s">
        <v>595</v>
      </c>
      <c r="B150" s="6" t="s">
        <v>596</v>
      </c>
      <c r="C150" s="6" t="s">
        <v>597</v>
      </c>
      <c r="D150" s="5" t="s">
        <v>12</v>
      </c>
      <c r="E150" s="5" t="s">
        <v>12</v>
      </c>
      <c r="F150" s="5" t="s">
        <v>12</v>
      </c>
      <c r="G150" s="5" t="s">
        <v>12</v>
      </c>
      <c r="H150" s="5" t="s">
        <v>12</v>
      </c>
      <c r="I150" s="5" t="s">
        <v>12</v>
      </c>
    </row>
    <row r="151" ht="280.5">
      <c r="A151" s="6" t="s">
        <v>598</v>
      </c>
      <c r="B151" s="6" t="s">
        <v>599</v>
      </c>
      <c r="C151" s="6" t="s">
        <v>600</v>
      </c>
      <c r="D151" s="21" t="s">
        <v>601</v>
      </c>
      <c r="E151" s="11" t="s">
        <v>602</v>
      </c>
      <c r="F151" s="1" t="s">
        <v>603</v>
      </c>
      <c r="G151" s="5" t="s">
        <v>12</v>
      </c>
      <c r="H151" s="11" t="s">
        <v>604</v>
      </c>
      <c r="I151" s="11" t="s">
        <v>605</v>
      </c>
    </row>
    <row r="152" ht="129.75">
      <c r="A152" s="6" t="s">
        <v>606</v>
      </c>
      <c r="B152" s="6" t="s">
        <v>607</v>
      </c>
      <c r="C152" s="6" t="s">
        <v>608</v>
      </c>
      <c r="D152" s="11" t="s">
        <v>609</v>
      </c>
      <c r="E152" s="11" t="s">
        <v>610</v>
      </c>
      <c r="F152" s="11" t="s">
        <v>611</v>
      </c>
      <c r="G152" s="22" t="s">
        <v>12</v>
      </c>
      <c r="H152" s="22" t="s">
        <v>12</v>
      </c>
      <c r="I152" s="11" t="s">
        <v>612</v>
      </c>
    </row>
    <row r="153" ht="129.75">
      <c r="A153" s="6" t="s">
        <v>613</v>
      </c>
      <c r="B153" s="6" t="s">
        <v>607</v>
      </c>
      <c r="C153" s="6" t="s">
        <v>608</v>
      </c>
      <c r="D153" s="11" t="s">
        <v>609</v>
      </c>
      <c r="E153" s="11" t="s">
        <v>610</v>
      </c>
      <c r="F153" s="11" t="s">
        <v>611</v>
      </c>
      <c r="G153" s="22" t="s">
        <v>12</v>
      </c>
      <c r="H153" s="22" t="s">
        <v>12</v>
      </c>
      <c r="I153" s="11" t="s">
        <v>612</v>
      </c>
    </row>
    <row r="154" ht="129.75">
      <c r="A154" s="6" t="s">
        <v>614</v>
      </c>
      <c r="B154" s="6" t="s">
        <v>607</v>
      </c>
      <c r="C154" s="6" t="s">
        <v>608</v>
      </c>
      <c r="D154" s="11" t="s">
        <v>609</v>
      </c>
      <c r="E154" s="11" t="s">
        <v>610</v>
      </c>
      <c r="F154" s="11" t="s">
        <v>611</v>
      </c>
      <c r="G154" s="22" t="s">
        <v>12</v>
      </c>
      <c r="H154" s="22" t="s">
        <v>12</v>
      </c>
      <c r="I154" s="11" t="s">
        <v>612</v>
      </c>
    </row>
    <row r="155" ht="198">
      <c r="A155" s="6" t="s">
        <v>615</v>
      </c>
      <c r="B155" s="6" t="s">
        <v>616</v>
      </c>
      <c r="C155" s="6" t="s">
        <v>476</v>
      </c>
      <c r="D155" s="11" t="s">
        <v>617</v>
      </c>
      <c r="E155" s="11" t="s">
        <v>618</v>
      </c>
      <c r="F155" s="11" t="s">
        <v>619</v>
      </c>
      <c r="G155" s="22" t="s">
        <v>12</v>
      </c>
      <c r="H155" s="22" t="s">
        <v>12</v>
      </c>
      <c r="I155" s="22" t="s">
        <v>12</v>
      </c>
    </row>
    <row r="156" ht="181.5">
      <c r="A156" s="6" t="s">
        <v>620</v>
      </c>
      <c r="B156" s="6" t="s">
        <v>621</v>
      </c>
      <c r="C156" s="6" t="s">
        <v>125</v>
      </c>
      <c r="D156" s="24" t="s">
        <v>622</v>
      </c>
      <c r="E156" s="11" t="s">
        <v>623</v>
      </c>
      <c r="F156" s="11" t="s">
        <v>624</v>
      </c>
      <c r="G156" s="11" t="s">
        <v>625</v>
      </c>
      <c r="H156" s="11" t="s">
        <v>626</v>
      </c>
      <c r="I156" s="11" t="s">
        <v>627</v>
      </c>
    </row>
    <row r="157" ht="181.5">
      <c r="A157" s="6" t="s">
        <v>628</v>
      </c>
      <c r="B157" s="6" t="s">
        <v>621</v>
      </c>
      <c r="C157" s="6" t="s">
        <v>125</v>
      </c>
      <c r="D157" s="24" t="s">
        <v>622</v>
      </c>
      <c r="E157" s="11" t="s">
        <v>623</v>
      </c>
      <c r="F157" s="11" t="s">
        <v>624</v>
      </c>
      <c r="G157" s="11" t="s">
        <v>625</v>
      </c>
      <c r="H157" s="11" t="s">
        <v>626</v>
      </c>
      <c r="I157" s="11" t="s">
        <v>627</v>
      </c>
    </row>
    <row r="158" ht="177" customHeight="1">
      <c r="A158" s="6" t="s">
        <v>629</v>
      </c>
      <c r="B158" s="6" t="s">
        <v>630</v>
      </c>
      <c r="C158" s="6" t="s">
        <v>503</v>
      </c>
      <c r="D158" s="7" t="s">
        <v>631</v>
      </c>
      <c r="E158" s="12" t="s">
        <v>632</v>
      </c>
      <c r="F158" s="7" t="s">
        <v>633</v>
      </c>
      <c r="G158" s="5" t="s">
        <v>12</v>
      </c>
      <c r="H158" s="12" t="s">
        <v>634</v>
      </c>
      <c r="I158" s="7" t="s">
        <v>635</v>
      </c>
    </row>
    <row r="159" ht="134.25" customHeight="1">
      <c r="A159" s="6" t="s">
        <v>636</v>
      </c>
      <c r="B159" s="6" t="s">
        <v>637</v>
      </c>
      <c r="C159" s="6" t="s">
        <v>385</v>
      </c>
      <c r="D159" s="5" t="s">
        <v>638</v>
      </c>
      <c r="E159" s="11" t="s">
        <v>639</v>
      </c>
      <c r="F159" s="11" t="s">
        <v>640</v>
      </c>
      <c r="G159" s="7" t="s">
        <v>281</v>
      </c>
      <c r="H159" s="11" t="s">
        <v>12</v>
      </c>
      <c r="I159" s="11" t="s">
        <v>641</v>
      </c>
    </row>
    <row r="160" ht="148.5">
      <c r="A160" s="6" t="s">
        <v>642</v>
      </c>
      <c r="B160" s="6" t="s">
        <v>637</v>
      </c>
      <c r="C160" s="6" t="s">
        <v>385</v>
      </c>
      <c r="D160" s="5" t="s">
        <v>638</v>
      </c>
      <c r="E160" s="11" t="s">
        <v>639</v>
      </c>
      <c r="F160" s="11" t="s">
        <v>640</v>
      </c>
      <c r="G160" s="7" t="s">
        <v>281</v>
      </c>
      <c r="H160" s="11" t="s">
        <v>12</v>
      </c>
      <c r="I160" s="11" t="s">
        <v>641</v>
      </c>
    </row>
    <row r="161" ht="66">
      <c r="A161" s="6" t="s">
        <v>643</v>
      </c>
      <c r="B161" s="6" t="s">
        <v>644</v>
      </c>
      <c r="C161" s="6" t="s">
        <v>645</v>
      </c>
      <c r="D161" s="5" t="s">
        <v>12</v>
      </c>
      <c r="E161" s="5" t="s">
        <v>12</v>
      </c>
      <c r="F161" s="5" t="s">
        <v>12</v>
      </c>
      <c r="G161" s="5" t="s">
        <v>12</v>
      </c>
      <c r="H161" s="5" t="s">
        <v>12</v>
      </c>
      <c r="I161" s="5" t="s">
        <v>12</v>
      </c>
    </row>
    <row r="162" ht="33">
      <c r="A162" s="6" t="s">
        <v>646</v>
      </c>
      <c r="B162" s="6" t="s">
        <v>647</v>
      </c>
      <c r="C162" s="6" t="s">
        <v>648</v>
      </c>
      <c r="D162" s="5" t="s">
        <v>12</v>
      </c>
      <c r="E162" s="5" t="s">
        <v>12</v>
      </c>
      <c r="F162" s="5" t="s">
        <v>12</v>
      </c>
      <c r="G162" s="5" t="s">
        <v>12</v>
      </c>
      <c r="H162" s="5" t="s">
        <v>12</v>
      </c>
      <c r="I162" s="5" t="s">
        <v>12</v>
      </c>
    </row>
    <row r="163" ht="185.25" customHeight="1">
      <c r="A163" s="6" t="s">
        <v>649</v>
      </c>
      <c r="B163" s="6" t="s">
        <v>650</v>
      </c>
      <c r="C163" s="6" t="s">
        <v>449</v>
      </c>
      <c r="D163" s="7" t="s">
        <v>651</v>
      </c>
      <c r="E163" s="7" t="s">
        <v>652</v>
      </c>
      <c r="F163" s="7" t="s">
        <v>653</v>
      </c>
      <c r="G163" s="7" t="s">
        <v>292</v>
      </c>
      <c r="H163" s="7" t="s">
        <v>654</v>
      </c>
      <c r="I163" s="7" t="s">
        <v>655</v>
      </c>
    </row>
    <row r="164" ht="165">
      <c r="A164" s="6" t="s">
        <v>656</v>
      </c>
      <c r="B164" s="6" t="s">
        <v>650</v>
      </c>
      <c r="C164" s="6" t="s">
        <v>449</v>
      </c>
      <c r="D164" s="7" t="s">
        <v>651</v>
      </c>
      <c r="E164" s="7" t="s">
        <v>652</v>
      </c>
      <c r="F164" s="7" t="s">
        <v>653</v>
      </c>
      <c r="G164" s="7" t="s">
        <v>292</v>
      </c>
      <c r="H164" s="7" t="s">
        <v>654</v>
      </c>
      <c r="I164" s="7" t="s">
        <v>655</v>
      </c>
    </row>
    <row r="165" ht="33">
      <c r="A165" s="6" t="s">
        <v>657</v>
      </c>
      <c r="B165" s="6" t="s">
        <v>658</v>
      </c>
      <c r="C165" s="6" t="s">
        <v>659</v>
      </c>
      <c r="D165" s="5" t="s">
        <v>12</v>
      </c>
      <c r="E165" s="5" t="s">
        <v>12</v>
      </c>
      <c r="F165" s="5" t="s">
        <v>12</v>
      </c>
      <c r="G165" s="5" t="s">
        <v>12</v>
      </c>
      <c r="H165" s="5" t="s">
        <v>12</v>
      </c>
      <c r="I165" s="5" t="s">
        <v>12</v>
      </c>
    </row>
    <row r="166" ht="66">
      <c r="A166" s="6" t="s">
        <v>660</v>
      </c>
      <c r="B166" s="6"/>
      <c r="C166" s="6" t="s">
        <v>661</v>
      </c>
      <c r="D166" s="11" t="s">
        <v>662</v>
      </c>
      <c r="E166" s="1" t="s">
        <v>663</v>
      </c>
      <c r="F166" s="11" t="s">
        <v>664</v>
      </c>
      <c r="G166" s="11" t="s">
        <v>12</v>
      </c>
      <c r="H166" s="11" t="s">
        <v>665</v>
      </c>
      <c r="I166" s="11" t="s">
        <v>12</v>
      </c>
    </row>
    <row r="167" ht="66">
      <c r="A167" s="6" t="s">
        <v>666</v>
      </c>
      <c r="B167" s="6"/>
      <c r="C167" s="6" t="s">
        <v>661</v>
      </c>
      <c r="D167" s="11" t="s">
        <v>662</v>
      </c>
      <c r="E167" s="1" t="s">
        <v>663</v>
      </c>
      <c r="F167" s="11" t="s">
        <v>664</v>
      </c>
      <c r="G167" s="11" t="s">
        <v>12</v>
      </c>
      <c r="H167" s="11" t="s">
        <v>665</v>
      </c>
      <c r="I167" s="11" t="s">
        <v>12</v>
      </c>
    </row>
    <row r="168" ht="66">
      <c r="A168" s="6" t="s">
        <v>667</v>
      </c>
      <c r="B168" s="6"/>
      <c r="C168" s="6" t="s">
        <v>661</v>
      </c>
      <c r="D168" s="11" t="s">
        <v>662</v>
      </c>
      <c r="E168" s="1" t="s">
        <v>663</v>
      </c>
      <c r="F168" s="11" t="s">
        <v>664</v>
      </c>
      <c r="G168" s="11" t="s">
        <v>12</v>
      </c>
      <c r="H168" s="11" t="s">
        <v>665</v>
      </c>
      <c r="I168" s="11" t="s">
        <v>12</v>
      </c>
    </row>
    <row r="169" ht="99.75" customHeight="1">
      <c r="A169" s="6" t="s">
        <v>668</v>
      </c>
      <c r="B169" s="6" t="s">
        <v>669</v>
      </c>
      <c r="C169" s="6" t="s">
        <v>426</v>
      </c>
      <c r="D169" s="11" t="s">
        <v>670</v>
      </c>
      <c r="E169" s="11" t="s">
        <v>671</v>
      </c>
      <c r="F169" s="11" t="s">
        <v>672</v>
      </c>
      <c r="G169" s="11" t="s">
        <v>12</v>
      </c>
      <c r="H169" s="11" t="s">
        <v>12</v>
      </c>
      <c r="I169" s="11" t="s">
        <v>673</v>
      </c>
    </row>
    <row r="170" ht="49.5">
      <c r="A170" s="6" t="s">
        <v>674</v>
      </c>
      <c r="B170" s="6" t="s">
        <v>675</v>
      </c>
      <c r="C170" s="6" t="s">
        <v>301</v>
      </c>
      <c r="D170" s="5" t="s">
        <v>12</v>
      </c>
      <c r="E170" s="5" t="s">
        <v>12</v>
      </c>
      <c r="F170" s="5" t="s">
        <v>12</v>
      </c>
      <c r="G170" s="5" t="s">
        <v>12</v>
      </c>
      <c r="H170" s="5" t="s">
        <v>12</v>
      </c>
      <c r="I170" s="5" t="s">
        <v>12</v>
      </c>
    </row>
    <row r="171" ht="33">
      <c r="A171" s="6" t="s">
        <v>676</v>
      </c>
      <c r="B171" s="6" t="s">
        <v>677</v>
      </c>
      <c r="C171" s="6" t="s">
        <v>68</v>
      </c>
      <c r="D171" s="5" t="s">
        <v>12</v>
      </c>
      <c r="E171" s="5" t="s">
        <v>12</v>
      </c>
      <c r="F171" s="5" t="s">
        <v>12</v>
      </c>
      <c r="G171" s="5" t="s">
        <v>12</v>
      </c>
      <c r="H171" s="5" t="s">
        <v>12</v>
      </c>
      <c r="I171" s="5" t="s">
        <v>12</v>
      </c>
    </row>
    <row r="172" ht="132">
      <c r="A172" s="6" t="s">
        <v>678</v>
      </c>
      <c r="B172" s="6" t="s">
        <v>679</v>
      </c>
      <c r="C172" s="6" t="s">
        <v>57</v>
      </c>
      <c r="D172" s="11" t="s">
        <v>680</v>
      </c>
      <c r="E172" s="11" t="s">
        <v>681</v>
      </c>
      <c r="F172" s="11" t="s">
        <v>12</v>
      </c>
      <c r="G172" s="11" t="s">
        <v>12</v>
      </c>
      <c r="H172" s="11" t="s">
        <v>12</v>
      </c>
      <c r="I172" s="11" t="s">
        <v>682</v>
      </c>
    </row>
    <row r="173" ht="330">
      <c r="A173" s="6" t="s">
        <v>683</v>
      </c>
      <c r="B173" s="6" t="s">
        <v>684</v>
      </c>
      <c r="C173" s="6" t="s">
        <v>326</v>
      </c>
      <c r="D173" s="7" t="s">
        <v>685</v>
      </c>
      <c r="E173" s="12" t="s">
        <v>686</v>
      </c>
      <c r="F173" s="7" t="s">
        <v>687</v>
      </c>
      <c r="G173" s="7" t="s">
        <v>688</v>
      </c>
      <c r="H173" s="12" t="s">
        <v>689</v>
      </c>
      <c r="I173" s="7" t="s">
        <v>690</v>
      </c>
    </row>
    <row r="174" ht="330">
      <c r="A174" s="6" t="s">
        <v>691</v>
      </c>
      <c r="B174" s="6" t="s">
        <v>684</v>
      </c>
      <c r="C174" s="6" t="s">
        <v>326</v>
      </c>
      <c r="D174" s="7" t="s">
        <v>685</v>
      </c>
      <c r="E174" s="12" t="s">
        <v>686</v>
      </c>
      <c r="F174" s="7" t="s">
        <v>687</v>
      </c>
      <c r="G174" s="7" t="s">
        <v>688</v>
      </c>
      <c r="H174" s="12" t="s">
        <v>689</v>
      </c>
      <c r="I174" s="7" t="s">
        <v>690</v>
      </c>
    </row>
    <row r="175" ht="33">
      <c r="A175" s="6" t="s">
        <v>692</v>
      </c>
      <c r="B175" s="6" t="s">
        <v>693</v>
      </c>
      <c r="C175" s="6" t="s">
        <v>608</v>
      </c>
      <c r="D175" s="5" t="s">
        <v>12</v>
      </c>
      <c r="E175" s="5" t="s">
        <v>12</v>
      </c>
      <c r="F175" s="5" t="s">
        <v>12</v>
      </c>
      <c r="G175" s="5" t="s">
        <v>12</v>
      </c>
      <c r="H175" s="5" t="s">
        <v>12</v>
      </c>
      <c r="I175" s="5" t="s">
        <v>12</v>
      </c>
    </row>
    <row r="176" ht="148.5">
      <c r="A176" s="6" t="s">
        <v>694</v>
      </c>
      <c r="B176" s="6" t="s">
        <v>695</v>
      </c>
      <c r="C176" s="6" t="s">
        <v>696</v>
      </c>
      <c r="D176" s="7" t="s">
        <v>697</v>
      </c>
      <c r="E176" s="12" t="s">
        <v>698</v>
      </c>
      <c r="F176" s="7" t="s">
        <v>699</v>
      </c>
      <c r="G176" s="7" t="s">
        <v>700</v>
      </c>
      <c r="H176" s="12" t="s">
        <v>701</v>
      </c>
      <c r="I176" s="7" t="s">
        <v>702</v>
      </c>
    </row>
    <row r="177" ht="148.5">
      <c r="A177" s="6" t="s">
        <v>703</v>
      </c>
      <c r="B177" s="6" t="s">
        <v>695</v>
      </c>
      <c r="C177" s="6" t="s">
        <v>696</v>
      </c>
      <c r="D177" s="7" t="s">
        <v>697</v>
      </c>
      <c r="E177" s="12" t="s">
        <v>698</v>
      </c>
      <c r="F177" s="7" t="s">
        <v>699</v>
      </c>
      <c r="G177" s="7" t="s">
        <v>700</v>
      </c>
      <c r="H177" s="12" t="s">
        <v>701</v>
      </c>
      <c r="I177" s="7" t="s">
        <v>702</v>
      </c>
    </row>
    <row r="178" ht="99">
      <c r="A178" s="6" t="s">
        <v>704</v>
      </c>
      <c r="B178" s="6" t="s">
        <v>705</v>
      </c>
      <c r="C178" s="6" t="s">
        <v>39</v>
      </c>
      <c r="D178" s="11" t="s">
        <v>706</v>
      </c>
      <c r="E178" s="11" t="s">
        <v>707</v>
      </c>
      <c r="F178" s="11" t="s">
        <v>708</v>
      </c>
      <c r="G178" s="5" t="s">
        <v>12</v>
      </c>
      <c r="H178" s="11" t="s">
        <v>709</v>
      </c>
      <c r="I178" s="11" t="s">
        <v>128</v>
      </c>
    </row>
    <row r="179" ht="165">
      <c r="A179" s="6" t="s">
        <v>710</v>
      </c>
      <c r="B179" s="6" t="s">
        <v>711</v>
      </c>
      <c r="C179" s="6" t="s">
        <v>712</v>
      </c>
      <c r="D179" s="11" t="s">
        <v>713</v>
      </c>
      <c r="E179" s="5" t="s">
        <v>12</v>
      </c>
      <c r="F179" s="11" t="s">
        <v>714</v>
      </c>
      <c r="G179" s="5" t="s">
        <v>12</v>
      </c>
      <c r="H179" s="11" t="s">
        <v>715</v>
      </c>
      <c r="I179" s="5" t="s">
        <v>12</v>
      </c>
    </row>
    <row r="180" ht="99">
      <c r="A180" s="6" t="s">
        <v>716</v>
      </c>
      <c r="B180" s="6" t="s">
        <v>717</v>
      </c>
      <c r="C180" s="6" t="s">
        <v>215</v>
      </c>
      <c r="D180" s="11" t="s">
        <v>718</v>
      </c>
      <c r="E180" s="11" t="s">
        <v>719</v>
      </c>
      <c r="F180" s="11" t="s">
        <v>720</v>
      </c>
      <c r="G180" s="5" t="s">
        <v>12</v>
      </c>
      <c r="H180" s="11" t="s">
        <v>721</v>
      </c>
      <c r="I180" s="11" t="s">
        <v>722</v>
      </c>
    </row>
    <row r="181" ht="82.5">
      <c r="A181" s="6" t="s">
        <v>723</v>
      </c>
      <c r="B181" s="6" t="s">
        <v>724</v>
      </c>
      <c r="C181" s="6" t="s">
        <v>125</v>
      </c>
      <c r="D181" s="11" t="s">
        <v>725</v>
      </c>
      <c r="E181" s="11" t="s">
        <v>726</v>
      </c>
      <c r="F181" s="11" t="s">
        <v>727</v>
      </c>
      <c r="G181" s="5" t="s">
        <v>12</v>
      </c>
      <c r="H181" s="11" t="s">
        <v>728</v>
      </c>
      <c r="I181" s="11" t="s">
        <v>128</v>
      </c>
    </row>
    <row r="182" ht="33">
      <c r="A182" s="6" t="s">
        <v>729</v>
      </c>
      <c r="B182" s="6" t="s">
        <v>730</v>
      </c>
      <c r="C182" s="6" t="s">
        <v>68</v>
      </c>
      <c r="D182" s="5" t="s">
        <v>12</v>
      </c>
      <c r="E182" s="5" t="s">
        <v>12</v>
      </c>
      <c r="F182" s="5" t="s">
        <v>12</v>
      </c>
      <c r="G182" s="5" t="s">
        <v>12</v>
      </c>
      <c r="H182" s="5" t="s">
        <v>12</v>
      </c>
      <c r="I182" s="5" t="s">
        <v>12</v>
      </c>
    </row>
    <row r="183" ht="49.5">
      <c r="A183" s="6" t="s">
        <v>731</v>
      </c>
      <c r="B183" s="16" t="s">
        <v>732</v>
      </c>
      <c r="C183" s="16" t="s">
        <v>543</v>
      </c>
      <c r="D183" s="5" t="s">
        <v>12</v>
      </c>
      <c r="E183" s="5" t="s">
        <v>12</v>
      </c>
      <c r="F183" s="5" t="s">
        <v>12</v>
      </c>
      <c r="G183" s="5" t="s">
        <v>12</v>
      </c>
      <c r="H183" s="5" t="s">
        <v>12</v>
      </c>
      <c r="I183" s="5" t="s">
        <v>12</v>
      </c>
    </row>
    <row r="184" ht="49.5">
      <c r="A184" s="6" t="s">
        <v>733</v>
      </c>
      <c r="B184" s="16" t="s">
        <v>732</v>
      </c>
      <c r="C184" s="16" t="s">
        <v>543</v>
      </c>
      <c r="D184" s="5" t="s">
        <v>12</v>
      </c>
      <c r="E184" s="5" t="s">
        <v>12</v>
      </c>
      <c r="F184" s="5" t="s">
        <v>12</v>
      </c>
      <c r="G184" s="5" t="s">
        <v>12</v>
      </c>
      <c r="H184" s="5" t="s">
        <v>12</v>
      </c>
      <c r="I184" s="5" t="s">
        <v>12</v>
      </c>
    </row>
    <row r="185">
      <c r="A185" s="6" t="s">
        <v>734</v>
      </c>
      <c r="B185" s="6" t="s">
        <v>735</v>
      </c>
      <c r="C185" s="6" t="s">
        <v>736</v>
      </c>
      <c r="D185" s="5" t="s">
        <v>12</v>
      </c>
      <c r="E185" s="5" t="s">
        <v>12</v>
      </c>
      <c r="F185" s="5" t="s">
        <v>12</v>
      </c>
      <c r="G185" s="5" t="s">
        <v>12</v>
      </c>
      <c r="H185" s="5" t="s">
        <v>12</v>
      </c>
      <c r="I185" s="5" t="s">
        <v>12</v>
      </c>
    </row>
    <row r="186" ht="115.5">
      <c r="A186" s="6" t="s">
        <v>737</v>
      </c>
      <c r="B186" s="6" t="s">
        <v>738</v>
      </c>
      <c r="C186" s="6" t="s">
        <v>739</v>
      </c>
      <c r="D186" s="11" t="s">
        <v>740</v>
      </c>
      <c r="E186" s="11" t="s">
        <v>368</v>
      </c>
      <c r="F186" s="5" t="s">
        <v>12</v>
      </c>
      <c r="G186" s="5" t="s">
        <v>12</v>
      </c>
      <c r="H186" s="5" t="s">
        <v>12</v>
      </c>
      <c r="I186" s="5" t="s">
        <v>12</v>
      </c>
    </row>
    <row r="187" ht="82.5">
      <c r="A187" s="6" t="s">
        <v>741</v>
      </c>
      <c r="B187" s="6" t="s">
        <v>742</v>
      </c>
      <c r="C187" s="6" t="s">
        <v>39</v>
      </c>
      <c r="D187" s="11" t="s">
        <v>743</v>
      </c>
      <c r="E187" s="5" t="s">
        <v>12</v>
      </c>
      <c r="F187" s="11" t="s">
        <v>744</v>
      </c>
      <c r="G187" s="5" t="s">
        <v>12</v>
      </c>
      <c r="H187" s="5" t="s">
        <v>12</v>
      </c>
      <c r="I187" s="5" t="s">
        <v>12</v>
      </c>
    </row>
    <row r="188" ht="214.5">
      <c r="A188" s="6" t="s">
        <v>745</v>
      </c>
      <c r="B188" s="6" t="s">
        <v>746</v>
      </c>
      <c r="C188" s="6" t="s">
        <v>747</v>
      </c>
      <c r="D188" s="11" t="s">
        <v>748</v>
      </c>
      <c r="E188" s="11" t="s">
        <v>749</v>
      </c>
      <c r="F188" s="11" t="s">
        <v>750</v>
      </c>
      <c r="G188" s="5" t="s">
        <v>12</v>
      </c>
      <c r="H188" s="11" t="s">
        <v>751</v>
      </c>
      <c r="I188" s="11" t="s">
        <v>752</v>
      </c>
    </row>
    <row r="189" ht="214.5">
      <c r="A189" s="6" t="s">
        <v>753</v>
      </c>
      <c r="B189" s="6" t="s">
        <v>746</v>
      </c>
      <c r="C189" s="6" t="s">
        <v>747</v>
      </c>
      <c r="D189" s="11" t="s">
        <v>748</v>
      </c>
      <c r="E189" s="11" t="s">
        <v>749</v>
      </c>
      <c r="F189" s="11" t="s">
        <v>750</v>
      </c>
      <c r="G189" s="5" t="s">
        <v>12</v>
      </c>
      <c r="H189" s="11" t="s">
        <v>751</v>
      </c>
      <c r="I189" s="11" t="s">
        <v>752</v>
      </c>
    </row>
    <row r="190" ht="33">
      <c r="A190" s="6" t="s">
        <v>754</v>
      </c>
      <c r="B190" s="6" t="s">
        <v>755</v>
      </c>
      <c r="C190" s="6" t="s">
        <v>756</v>
      </c>
      <c r="D190" s="5" t="s">
        <v>12</v>
      </c>
      <c r="E190" s="5" t="s">
        <v>12</v>
      </c>
      <c r="F190" s="5" t="s">
        <v>12</v>
      </c>
      <c r="G190" s="5" t="s">
        <v>12</v>
      </c>
      <c r="H190" s="5" t="s">
        <v>12</v>
      </c>
      <c r="I190" s="5" t="s">
        <v>12</v>
      </c>
    </row>
    <row r="191" ht="148.5">
      <c r="A191" s="6" t="s">
        <v>757</v>
      </c>
      <c r="B191" s="6" t="s">
        <v>758</v>
      </c>
      <c r="C191" s="6" t="s">
        <v>385</v>
      </c>
      <c r="D191" s="5" t="s">
        <v>638</v>
      </c>
      <c r="E191" s="11" t="s">
        <v>639</v>
      </c>
      <c r="F191" s="11" t="s">
        <v>640</v>
      </c>
      <c r="G191" s="7" t="s">
        <v>281</v>
      </c>
      <c r="H191" s="11" t="s">
        <v>12</v>
      </c>
      <c r="I191" s="11" t="s">
        <v>641</v>
      </c>
    </row>
    <row r="192" ht="148.5">
      <c r="A192" s="6" t="s">
        <v>759</v>
      </c>
      <c r="B192" s="6" t="s">
        <v>758</v>
      </c>
      <c r="C192" s="6" t="s">
        <v>385</v>
      </c>
      <c r="D192" s="5" t="s">
        <v>638</v>
      </c>
      <c r="E192" s="11" t="s">
        <v>639</v>
      </c>
      <c r="F192" s="11" t="s">
        <v>640</v>
      </c>
      <c r="G192" s="7" t="s">
        <v>281</v>
      </c>
      <c r="H192" s="11" t="s">
        <v>12</v>
      </c>
      <c r="I192" s="11" t="s">
        <v>641</v>
      </c>
    </row>
    <row r="193" ht="148.5">
      <c r="A193" s="6" t="s">
        <v>760</v>
      </c>
      <c r="B193" s="6" t="s">
        <v>761</v>
      </c>
      <c r="C193" s="6" t="s">
        <v>762</v>
      </c>
      <c r="D193" s="11" t="s">
        <v>763</v>
      </c>
      <c r="E193" s="11" t="s">
        <v>764</v>
      </c>
      <c r="F193" s="11" t="s">
        <v>12</v>
      </c>
      <c r="G193" s="11" t="s">
        <v>12</v>
      </c>
      <c r="H193" s="11" t="s">
        <v>765</v>
      </c>
      <c r="I193" s="11" t="s">
        <v>12</v>
      </c>
    </row>
    <row r="194" ht="148.5">
      <c r="A194" s="6" t="s">
        <v>766</v>
      </c>
      <c r="B194" s="6" t="s">
        <v>761</v>
      </c>
      <c r="C194" s="6" t="s">
        <v>762</v>
      </c>
      <c r="D194" s="11" t="s">
        <v>767</v>
      </c>
      <c r="E194" s="11" t="s">
        <v>764</v>
      </c>
      <c r="F194" s="11" t="s">
        <v>12</v>
      </c>
      <c r="G194" s="11" t="s">
        <v>12</v>
      </c>
      <c r="H194" s="11" t="s">
        <v>765</v>
      </c>
      <c r="I194" s="11" t="s">
        <v>12</v>
      </c>
    </row>
    <row r="195" ht="148.5">
      <c r="A195" s="6" t="s">
        <v>768</v>
      </c>
      <c r="B195" s="6" t="s">
        <v>761</v>
      </c>
      <c r="C195" s="6" t="s">
        <v>762</v>
      </c>
      <c r="D195" s="11" t="s">
        <v>767</v>
      </c>
      <c r="E195" s="11" t="s">
        <v>764</v>
      </c>
      <c r="F195" s="11" t="s">
        <v>12</v>
      </c>
      <c r="G195" s="11" t="s">
        <v>12</v>
      </c>
      <c r="H195" s="11" t="s">
        <v>765</v>
      </c>
      <c r="I195" s="11" t="s">
        <v>12</v>
      </c>
    </row>
    <row r="196" ht="115.5">
      <c r="A196" s="6" t="s">
        <v>769</v>
      </c>
      <c r="B196" s="6" t="s">
        <v>770</v>
      </c>
      <c r="C196" s="6" t="s">
        <v>125</v>
      </c>
      <c r="D196" s="11" t="s">
        <v>771</v>
      </c>
      <c r="E196" s="11" t="s">
        <v>772</v>
      </c>
      <c r="G196" s="11" t="s">
        <v>773</v>
      </c>
      <c r="H196" s="11" t="s">
        <v>774</v>
      </c>
      <c r="I196" s="11" t="s">
        <v>775</v>
      </c>
    </row>
    <row r="197" ht="49.5">
      <c r="A197" s="6" t="s">
        <v>776</v>
      </c>
      <c r="B197" s="6" t="s">
        <v>770</v>
      </c>
      <c r="C197" s="6" t="s">
        <v>125</v>
      </c>
    </row>
    <row r="198" ht="188.25" customHeight="1">
      <c r="A198" s="6" t="s">
        <v>777</v>
      </c>
      <c r="B198" s="6" t="s">
        <v>778</v>
      </c>
      <c r="C198" s="6" t="s">
        <v>779</v>
      </c>
      <c r="D198" s="21" t="s">
        <v>780</v>
      </c>
      <c r="E198" s="11" t="s">
        <v>781</v>
      </c>
      <c r="F198" s="1" t="s">
        <v>782</v>
      </c>
      <c r="G198" s="13" t="s">
        <v>12</v>
      </c>
      <c r="H198" s="13" t="s">
        <v>12</v>
      </c>
      <c r="I198" s="13" t="s">
        <v>12</v>
      </c>
    </row>
    <row r="199" ht="181.5">
      <c r="A199" s="6" t="s">
        <v>783</v>
      </c>
      <c r="B199" s="6" t="s">
        <v>778</v>
      </c>
      <c r="C199" s="6" t="s">
        <v>779</v>
      </c>
      <c r="D199" s="21" t="s">
        <v>780</v>
      </c>
      <c r="E199" s="11" t="s">
        <v>781</v>
      </c>
      <c r="F199" s="1" t="s">
        <v>782</v>
      </c>
      <c r="G199" s="13" t="s">
        <v>12</v>
      </c>
      <c r="H199" s="13" t="s">
        <v>12</v>
      </c>
      <c r="I199" s="13" t="s">
        <v>12</v>
      </c>
    </row>
    <row r="200" ht="47.25">
      <c r="A200" s="6" t="s">
        <v>784</v>
      </c>
      <c r="B200" s="6" t="s">
        <v>785</v>
      </c>
      <c r="C200" s="6" t="s">
        <v>215</v>
      </c>
      <c r="D200" s="13" t="s">
        <v>12</v>
      </c>
      <c r="E200" s="13" t="s">
        <v>12</v>
      </c>
      <c r="F200" s="13" t="s">
        <v>12</v>
      </c>
      <c r="G200" s="7" t="s">
        <v>399</v>
      </c>
      <c r="H200" s="7" t="s">
        <v>786</v>
      </c>
      <c r="I200" s="13" t="s">
        <v>12</v>
      </c>
    </row>
    <row r="201" ht="47.25">
      <c r="A201" s="6" t="s">
        <v>787</v>
      </c>
      <c r="B201" s="6" t="s">
        <v>785</v>
      </c>
      <c r="C201" s="6" t="s">
        <v>215</v>
      </c>
      <c r="D201" s="13" t="s">
        <v>12</v>
      </c>
      <c r="E201" s="13" t="s">
        <v>12</v>
      </c>
      <c r="F201" s="13" t="s">
        <v>12</v>
      </c>
      <c r="G201" s="7" t="s">
        <v>399</v>
      </c>
      <c r="H201" s="7" t="s">
        <v>786</v>
      </c>
      <c r="I201" s="13" t="s">
        <v>12</v>
      </c>
    </row>
    <row r="202" ht="47.25">
      <c r="A202" s="6" t="s">
        <v>788</v>
      </c>
      <c r="B202" s="6" t="s">
        <v>785</v>
      </c>
      <c r="C202" s="6" t="s">
        <v>215</v>
      </c>
      <c r="D202" s="13" t="s">
        <v>12</v>
      </c>
      <c r="E202" s="13" t="s">
        <v>12</v>
      </c>
      <c r="F202" s="13" t="s">
        <v>12</v>
      </c>
      <c r="G202" s="7" t="s">
        <v>399</v>
      </c>
      <c r="H202" s="7" t="s">
        <v>786</v>
      </c>
      <c r="I202" s="13" t="s">
        <v>12</v>
      </c>
    </row>
    <row r="203" ht="49.5">
      <c r="A203" s="6" t="s">
        <v>789</v>
      </c>
      <c r="B203" s="6" t="s">
        <v>785</v>
      </c>
      <c r="C203" s="6" t="s">
        <v>215</v>
      </c>
      <c r="D203" s="13" t="s">
        <v>12</v>
      </c>
      <c r="E203" s="13" t="s">
        <v>12</v>
      </c>
      <c r="F203" s="13" t="s">
        <v>12</v>
      </c>
      <c r="G203" s="7" t="s">
        <v>399</v>
      </c>
      <c r="H203" s="7" t="s">
        <v>786</v>
      </c>
      <c r="I203" s="13" t="s">
        <v>12</v>
      </c>
    </row>
    <row r="204" ht="82.5">
      <c r="A204" s="6" t="s">
        <v>790</v>
      </c>
      <c r="B204" s="6" t="s">
        <v>791</v>
      </c>
      <c r="C204" s="6" t="s">
        <v>571</v>
      </c>
      <c r="D204" s="21" t="s">
        <v>792</v>
      </c>
      <c r="E204" s="11" t="s">
        <v>793</v>
      </c>
      <c r="F204" s="13" t="s">
        <v>12</v>
      </c>
      <c r="G204" s="13" t="s">
        <v>12</v>
      </c>
      <c r="H204" s="11" t="s">
        <v>321</v>
      </c>
      <c r="I204" s="11" t="s">
        <v>682</v>
      </c>
    </row>
    <row r="205" ht="87.75" customHeight="1">
      <c r="A205" s="6" t="s">
        <v>794</v>
      </c>
      <c r="B205" s="6" t="s">
        <v>795</v>
      </c>
      <c r="C205" s="6" t="s">
        <v>796</v>
      </c>
      <c r="D205" s="11" t="s">
        <v>797</v>
      </c>
      <c r="E205" s="13" t="s">
        <v>12</v>
      </c>
      <c r="F205" s="13" t="s">
        <v>12</v>
      </c>
      <c r="G205" s="13" t="s">
        <v>12</v>
      </c>
      <c r="H205" s="11" t="s">
        <v>798</v>
      </c>
      <c r="I205" s="11" t="s">
        <v>799</v>
      </c>
    </row>
    <row r="206" ht="82.5">
      <c r="A206" s="6" t="s">
        <v>800</v>
      </c>
      <c r="B206" s="6" t="s">
        <v>795</v>
      </c>
      <c r="C206" s="6" t="s">
        <v>796</v>
      </c>
      <c r="D206" s="11" t="s">
        <v>801</v>
      </c>
      <c r="E206" s="13" t="s">
        <v>12</v>
      </c>
      <c r="F206" s="13" t="s">
        <v>12</v>
      </c>
      <c r="G206" s="13" t="s">
        <v>12</v>
      </c>
      <c r="H206" s="11" t="s">
        <v>798</v>
      </c>
      <c r="I206" s="11" t="s">
        <v>799</v>
      </c>
    </row>
    <row r="207" ht="409.5">
      <c r="A207" s="6" t="s">
        <v>802</v>
      </c>
      <c r="B207" s="6" t="s">
        <v>803</v>
      </c>
      <c r="C207" s="6" t="s">
        <v>366</v>
      </c>
      <c r="D207" s="11" t="s">
        <v>804</v>
      </c>
      <c r="E207" s="11" t="s">
        <v>368</v>
      </c>
      <c r="F207" s="13" t="s">
        <v>12</v>
      </c>
      <c r="G207" s="13" t="s">
        <v>12</v>
      </c>
      <c r="H207" s="11" t="s">
        <v>100</v>
      </c>
      <c r="I207" s="11" t="s">
        <v>722</v>
      </c>
    </row>
    <row r="208" ht="165">
      <c r="A208" s="6" t="s">
        <v>805</v>
      </c>
      <c r="B208" s="6" t="s">
        <v>803</v>
      </c>
      <c r="C208" s="6" t="s">
        <v>366</v>
      </c>
      <c r="D208" s="11" t="s">
        <v>806</v>
      </c>
      <c r="E208" s="11" t="s">
        <v>368</v>
      </c>
      <c r="F208" s="13" t="s">
        <v>12</v>
      </c>
      <c r="G208" s="13" t="s">
        <v>12</v>
      </c>
      <c r="H208" s="11" t="s">
        <v>100</v>
      </c>
      <c r="I208" s="11" t="s">
        <v>722</v>
      </c>
    </row>
    <row r="209" ht="165">
      <c r="A209" s="6" t="s">
        <v>807</v>
      </c>
      <c r="B209" s="6" t="s">
        <v>803</v>
      </c>
      <c r="C209" s="6" t="s">
        <v>366</v>
      </c>
      <c r="D209" s="11" t="s">
        <v>806</v>
      </c>
      <c r="E209" s="11" t="s">
        <v>368</v>
      </c>
      <c r="F209" s="13" t="s">
        <v>12</v>
      </c>
      <c r="G209" s="13" t="s">
        <v>12</v>
      </c>
      <c r="H209" s="11" t="s">
        <v>100</v>
      </c>
      <c r="I209" s="11" t="s">
        <v>722</v>
      </c>
    </row>
    <row r="210" ht="165">
      <c r="A210" s="6" t="s">
        <v>808</v>
      </c>
      <c r="B210" s="6" t="s">
        <v>803</v>
      </c>
      <c r="C210" s="6" t="s">
        <v>366</v>
      </c>
      <c r="D210" s="11" t="s">
        <v>806</v>
      </c>
      <c r="E210" s="11" t="s">
        <v>368</v>
      </c>
      <c r="F210" s="13" t="s">
        <v>12</v>
      </c>
      <c r="G210" s="13" t="s">
        <v>12</v>
      </c>
      <c r="H210" s="11" t="s">
        <v>100</v>
      </c>
      <c r="I210" s="11" t="s">
        <v>722</v>
      </c>
    </row>
    <row r="211" ht="33">
      <c r="A211" s="6" t="s">
        <v>809</v>
      </c>
      <c r="B211" s="6" t="s">
        <v>810</v>
      </c>
      <c r="C211" s="6" t="s">
        <v>39</v>
      </c>
      <c r="D211" s="13" t="s">
        <v>12</v>
      </c>
      <c r="E211" s="13" t="s">
        <v>12</v>
      </c>
      <c r="F211" s="13" t="s">
        <v>12</v>
      </c>
      <c r="G211" s="13" t="s">
        <v>12</v>
      </c>
      <c r="H211" s="13" t="s">
        <v>12</v>
      </c>
      <c r="I211" s="13" t="s">
        <v>12</v>
      </c>
    </row>
    <row r="212" ht="33">
      <c r="A212" s="6" t="s">
        <v>811</v>
      </c>
      <c r="B212" s="6" t="s">
        <v>812</v>
      </c>
      <c r="C212" s="6" t="s">
        <v>813</v>
      </c>
      <c r="D212" s="13" t="s">
        <v>12</v>
      </c>
      <c r="E212" s="13" t="s">
        <v>12</v>
      </c>
      <c r="F212" s="13" t="s">
        <v>12</v>
      </c>
      <c r="G212" s="13" t="s">
        <v>12</v>
      </c>
      <c r="H212" s="13" t="s">
        <v>12</v>
      </c>
      <c r="I212" s="13" t="s">
        <v>12</v>
      </c>
    </row>
    <row r="213" ht="33">
      <c r="A213" s="6" t="s">
        <v>814</v>
      </c>
      <c r="B213" s="6" t="s">
        <v>815</v>
      </c>
      <c r="C213" s="6" t="s">
        <v>169</v>
      </c>
      <c r="D213" s="13" t="s">
        <v>12</v>
      </c>
      <c r="E213" s="13" t="s">
        <v>12</v>
      </c>
      <c r="F213" s="13" t="s">
        <v>12</v>
      </c>
      <c r="G213" s="13" t="s">
        <v>12</v>
      </c>
      <c r="H213" s="13" t="s">
        <v>12</v>
      </c>
      <c r="I213" s="13" t="s">
        <v>12</v>
      </c>
    </row>
    <row r="214" ht="33">
      <c r="A214" s="6" t="s">
        <v>816</v>
      </c>
      <c r="B214" s="6" t="s">
        <v>817</v>
      </c>
      <c r="C214" s="6" t="s">
        <v>818</v>
      </c>
      <c r="D214" s="7" t="s">
        <v>819</v>
      </c>
      <c r="E214" s="13" t="s">
        <v>12</v>
      </c>
      <c r="F214" s="13" t="s">
        <v>12</v>
      </c>
      <c r="G214" s="13" t="s">
        <v>12</v>
      </c>
      <c r="H214" s="13" t="s">
        <v>12</v>
      </c>
      <c r="I214" s="13" t="s">
        <v>12</v>
      </c>
    </row>
    <row r="215" ht="127.5">
      <c r="A215" s="6" t="s">
        <v>820</v>
      </c>
      <c r="B215" s="6" t="s">
        <v>821</v>
      </c>
      <c r="C215" s="6" t="s">
        <v>125</v>
      </c>
      <c r="D215" s="11" t="s">
        <v>822</v>
      </c>
      <c r="E215" s="11" t="s">
        <v>823</v>
      </c>
      <c r="F215" s="11" t="s">
        <v>824</v>
      </c>
      <c r="G215" s="7" t="s">
        <v>825</v>
      </c>
      <c r="H215" s="7" t="s">
        <v>826</v>
      </c>
      <c r="I215" s="7" t="s">
        <v>423</v>
      </c>
    </row>
    <row r="216" ht="82.5">
      <c r="A216" s="6" t="s">
        <v>827</v>
      </c>
      <c r="B216" s="6" t="s">
        <v>828</v>
      </c>
      <c r="C216" s="6" t="s">
        <v>829</v>
      </c>
      <c r="D216" s="19" t="s">
        <v>830</v>
      </c>
      <c r="E216" s="25" t="s">
        <v>12</v>
      </c>
      <c r="F216" s="25" t="s">
        <v>831</v>
      </c>
      <c r="G216" s="25" t="s">
        <v>12</v>
      </c>
      <c r="H216" s="25" t="s">
        <v>12</v>
      </c>
      <c r="I216" s="25" t="s">
        <v>12</v>
      </c>
    </row>
    <row r="217" ht="33">
      <c r="A217" s="6" t="s">
        <v>832</v>
      </c>
      <c r="B217" s="6" t="s">
        <v>833</v>
      </c>
      <c r="C217" s="6" t="s">
        <v>125</v>
      </c>
      <c r="D217" s="13" t="s">
        <v>12</v>
      </c>
      <c r="E217" s="13" t="s">
        <v>12</v>
      </c>
      <c r="F217" s="13" t="s">
        <v>12</v>
      </c>
      <c r="G217" s="13" t="s">
        <v>12</v>
      </c>
      <c r="H217" s="13" t="s">
        <v>12</v>
      </c>
      <c r="I217" s="13" t="s">
        <v>12</v>
      </c>
    </row>
    <row r="218" ht="49.5">
      <c r="A218" s="6" t="s">
        <v>834</v>
      </c>
      <c r="B218" s="6" t="s">
        <v>835</v>
      </c>
      <c r="C218" s="6" t="s">
        <v>455</v>
      </c>
      <c r="D218" s="13" t="s">
        <v>12</v>
      </c>
      <c r="E218" s="13" t="s">
        <v>12</v>
      </c>
      <c r="F218" s="13" t="s">
        <v>12</v>
      </c>
      <c r="G218" s="13" t="s">
        <v>12</v>
      </c>
      <c r="H218" s="13" t="s">
        <v>12</v>
      </c>
      <c r="I218" s="13" t="s">
        <v>12</v>
      </c>
    </row>
    <row r="219" ht="33">
      <c r="A219" s="6" t="s">
        <v>836</v>
      </c>
      <c r="B219" s="6" t="s">
        <v>837</v>
      </c>
      <c r="C219" s="6" t="s">
        <v>838</v>
      </c>
      <c r="D219" s="13" t="s">
        <v>12</v>
      </c>
      <c r="E219" s="13" t="s">
        <v>12</v>
      </c>
      <c r="F219" s="13" t="s">
        <v>12</v>
      </c>
      <c r="G219" s="13" t="s">
        <v>12</v>
      </c>
      <c r="H219" s="13" t="s">
        <v>12</v>
      </c>
      <c r="I219" s="13" t="s">
        <v>12</v>
      </c>
    </row>
    <row r="220" ht="214.5">
      <c r="A220" s="6" t="s">
        <v>839</v>
      </c>
      <c r="B220" s="6" t="s">
        <v>840</v>
      </c>
      <c r="C220" s="6" t="s">
        <v>513</v>
      </c>
      <c r="D220" s="11" t="s">
        <v>841</v>
      </c>
      <c r="E220" s="11" t="s">
        <v>842</v>
      </c>
      <c r="F220" s="11" t="s">
        <v>843</v>
      </c>
      <c r="G220" s="11" t="s">
        <v>12</v>
      </c>
      <c r="H220" s="11" t="s">
        <v>844</v>
      </c>
      <c r="I220" s="11" t="s">
        <v>845</v>
      </c>
    </row>
    <row r="221" ht="214.5">
      <c r="A221" s="6" t="s">
        <v>846</v>
      </c>
      <c r="B221" s="6" t="s">
        <v>840</v>
      </c>
      <c r="C221" s="6" t="s">
        <v>513</v>
      </c>
      <c r="D221" s="11" t="s">
        <v>841</v>
      </c>
      <c r="E221" s="11" t="s">
        <v>842</v>
      </c>
      <c r="F221" s="11" t="s">
        <v>843</v>
      </c>
      <c r="G221" s="11" t="s">
        <v>12</v>
      </c>
      <c r="H221" s="11" t="s">
        <v>844</v>
      </c>
      <c r="I221" s="11" t="s">
        <v>845</v>
      </c>
    </row>
    <row r="222" ht="204" customHeight="1">
      <c r="A222" s="6" t="s">
        <v>847</v>
      </c>
      <c r="B222" s="6"/>
      <c r="C222" s="6" t="s">
        <v>848</v>
      </c>
      <c r="D222" s="5" t="s">
        <v>849</v>
      </c>
      <c r="E222" s="11" t="s">
        <v>850</v>
      </c>
      <c r="F222" s="11" t="s">
        <v>12</v>
      </c>
      <c r="G222" s="11" t="s">
        <v>851</v>
      </c>
      <c r="H222" s="11" t="s">
        <v>12</v>
      </c>
      <c r="I222" s="11" t="s">
        <v>852</v>
      </c>
    </row>
    <row r="223" ht="132">
      <c r="A223" s="6" t="s">
        <v>853</v>
      </c>
      <c r="B223" s="6" t="s">
        <v>854</v>
      </c>
      <c r="C223" s="6" t="s">
        <v>855</v>
      </c>
      <c r="D223" s="11" t="s">
        <v>856</v>
      </c>
      <c r="E223" s="18" t="s">
        <v>857</v>
      </c>
      <c r="F223" s="13" t="s">
        <v>12</v>
      </c>
      <c r="G223" s="7" t="s">
        <v>858</v>
      </c>
      <c r="H223" s="12" t="s">
        <v>859</v>
      </c>
      <c r="I223" s="7" t="s">
        <v>860</v>
      </c>
    </row>
    <row r="224" ht="132">
      <c r="A224" s="6" t="s">
        <v>861</v>
      </c>
      <c r="B224" s="6" t="s">
        <v>854</v>
      </c>
      <c r="C224" s="6" t="s">
        <v>855</v>
      </c>
      <c r="D224" s="11" t="s">
        <v>862</v>
      </c>
      <c r="E224" s="19" t="s">
        <v>857</v>
      </c>
      <c r="F224" s="13" t="s">
        <v>12</v>
      </c>
      <c r="G224" s="7" t="s">
        <v>858</v>
      </c>
      <c r="H224" s="12" t="s">
        <v>859</v>
      </c>
      <c r="I224" s="7" t="s">
        <v>860</v>
      </c>
    </row>
    <row r="225" ht="82.5">
      <c r="A225" s="6" t="s">
        <v>863</v>
      </c>
      <c r="B225" s="6" t="s">
        <v>864</v>
      </c>
      <c r="C225" s="6" t="s">
        <v>221</v>
      </c>
      <c r="D225" s="11" t="s">
        <v>865</v>
      </c>
      <c r="E225" s="11" t="s">
        <v>866</v>
      </c>
      <c r="F225" s="11" t="s">
        <v>12</v>
      </c>
      <c r="G225" s="11" t="s">
        <v>12</v>
      </c>
      <c r="H225" s="11" t="s">
        <v>12</v>
      </c>
      <c r="I225" s="11" t="s">
        <v>867</v>
      </c>
    </row>
    <row r="226" ht="82.5">
      <c r="A226" s="6" t="s">
        <v>868</v>
      </c>
      <c r="B226" s="6" t="s">
        <v>864</v>
      </c>
      <c r="C226" s="6" t="s">
        <v>221</v>
      </c>
      <c r="D226" s="11" t="s">
        <v>865</v>
      </c>
      <c r="E226" s="11" t="s">
        <v>866</v>
      </c>
      <c r="F226" s="11" t="s">
        <v>12</v>
      </c>
      <c r="G226" s="11" t="s">
        <v>12</v>
      </c>
      <c r="H226" s="11" t="s">
        <v>12</v>
      </c>
      <c r="I226" s="11" t="s">
        <v>867</v>
      </c>
    </row>
    <row r="227" ht="82.5">
      <c r="A227" s="6" t="s">
        <v>869</v>
      </c>
      <c r="B227" s="6" t="s">
        <v>864</v>
      </c>
      <c r="C227" s="6" t="s">
        <v>221</v>
      </c>
      <c r="D227" s="11" t="s">
        <v>865</v>
      </c>
      <c r="E227" s="11" t="s">
        <v>866</v>
      </c>
      <c r="F227" s="11" t="s">
        <v>12</v>
      </c>
      <c r="G227" s="11" t="s">
        <v>12</v>
      </c>
      <c r="H227" s="11" t="s">
        <v>12</v>
      </c>
      <c r="I227" s="11" t="s">
        <v>867</v>
      </c>
    </row>
    <row r="228" ht="66">
      <c r="A228" s="6" t="s">
        <v>870</v>
      </c>
      <c r="B228" s="6" t="s">
        <v>871</v>
      </c>
      <c r="C228" s="6" t="s">
        <v>39</v>
      </c>
      <c r="D228" s="11" t="s">
        <v>872</v>
      </c>
      <c r="E228" s="11" t="s">
        <v>873</v>
      </c>
      <c r="F228" s="11" t="s">
        <v>874</v>
      </c>
      <c r="G228" s="11" t="s">
        <v>12</v>
      </c>
      <c r="H228" s="11" t="s">
        <v>12</v>
      </c>
      <c r="I228" s="11" t="s">
        <v>12</v>
      </c>
    </row>
    <row r="229" ht="66">
      <c r="A229" s="6" t="s">
        <v>875</v>
      </c>
      <c r="B229" s="6" t="s">
        <v>876</v>
      </c>
      <c r="C229" s="6" t="s">
        <v>57</v>
      </c>
      <c r="D229" s="11" t="s">
        <v>877</v>
      </c>
      <c r="E229" s="11" t="s">
        <v>12</v>
      </c>
      <c r="F229" s="11" t="s">
        <v>12</v>
      </c>
      <c r="G229" s="11" t="s">
        <v>12</v>
      </c>
      <c r="H229" s="11" t="s">
        <v>878</v>
      </c>
      <c r="I229" s="11" t="s">
        <v>879</v>
      </c>
    </row>
    <row r="230" ht="66">
      <c r="A230" s="6" t="s">
        <v>880</v>
      </c>
      <c r="B230" s="6" t="s">
        <v>881</v>
      </c>
      <c r="C230" s="6" t="s">
        <v>882</v>
      </c>
      <c r="D230" s="11" t="s">
        <v>877</v>
      </c>
      <c r="E230" s="11" t="s">
        <v>12</v>
      </c>
      <c r="F230" s="11" t="s">
        <v>12</v>
      </c>
      <c r="G230" s="11" t="s">
        <v>12</v>
      </c>
      <c r="H230" s="11" t="s">
        <v>878</v>
      </c>
      <c r="I230" s="11" t="s">
        <v>879</v>
      </c>
    </row>
    <row r="231" ht="132">
      <c r="A231" s="6" t="s">
        <v>883</v>
      </c>
      <c r="B231" s="6" t="s">
        <v>884</v>
      </c>
      <c r="C231" s="6" t="s">
        <v>855</v>
      </c>
      <c r="D231" s="11" t="s">
        <v>862</v>
      </c>
      <c r="E231" s="19" t="s">
        <v>857</v>
      </c>
      <c r="F231" s="11"/>
      <c r="G231" s="7" t="s">
        <v>858</v>
      </c>
      <c r="H231" s="12" t="s">
        <v>859</v>
      </c>
      <c r="I231" s="7" t="s">
        <v>860</v>
      </c>
    </row>
    <row r="232" ht="132">
      <c r="A232" s="6" t="s">
        <v>885</v>
      </c>
      <c r="B232" s="6" t="s">
        <v>884</v>
      </c>
      <c r="C232" s="6" t="s">
        <v>855</v>
      </c>
      <c r="D232" s="11" t="s">
        <v>862</v>
      </c>
      <c r="E232" s="19" t="s">
        <v>857</v>
      </c>
      <c r="F232" s="11" t="s">
        <v>12</v>
      </c>
      <c r="G232" s="7" t="s">
        <v>858</v>
      </c>
      <c r="H232" s="12" t="s">
        <v>859</v>
      </c>
      <c r="I232" s="7" t="s">
        <v>860</v>
      </c>
    </row>
    <row r="233" ht="132">
      <c r="A233" s="6" t="s">
        <v>886</v>
      </c>
      <c r="B233" s="6" t="s">
        <v>884</v>
      </c>
      <c r="C233" s="6" t="s">
        <v>855</v>
      </c>
      <c r="D233" s="11" t="s">
        <v>862</v>
      </c>
      <c r="E233" s="19" t="s">
        <v>857</v>
      </c>
      <c r="F233" s="11" t="s">
        <v>12</v>
      </c>
      <c r="G233" s="7" t="s">
        <v>887</v>
      </c>
      <c r="H233" s="12" t="s">
        <v>859</v>
      </c>
      <c r="I233" s="7" t="s">
        <v>860</v>
      </c>
    </row>
    <row r="234" ht="198">
      <c r="A234" s="6" t="s">
        <v>888</v>
      </c>
      <c r="B234" s="6" t="s">
        <v>889</v>
      </c>
      <c r="C234" s="6" t="s">
        <v>449</v>
      </c>
      <c r="D234" s="11" t="s">
        <v>890</v>
      </c>
      <c r="E234" s="11" t="s">
        <v>891</v>
      </c>
      <c r="F234" s="11" t="s">
        <v>12</v>
      </c>
      <c r="G234" s="11" t="s">
        <v>12</v>
      </c>
      <c r="H234" s="11" t="s">
        <v>100</v>
      </c>
      <c r="I234" s="11" t="s">
        <v>892</v>
      </c>
    </row>
    <row r="235" ht="198">
      <c r="A235" s="6" t="s">
        <v>893</v>
      </c>
      <c r="B235" s="6" t="s">
        <v>889</v>
      </c>
      <c r="C235" s="6" t="s">
        <v>449</v>
      </c>
      <c r="D235" s="11" t="s">
        <v>890</v>
      </c>
      <c r="E235" s="11" t="s">
        <v>891</v>
      </c>
      <c r="F235" s="11" t="s">
        <v>12</v>
      </c>
      <c r="G235" s="11" t="s">
        <v>12</v>
      </c>
      <c r="H235" s="11" t="s">
        <v>100</v>
      </c>
      <c r="I235" s="11" t="s">
        <v>892</v>
      </c>
    </row>
    <row r="236" ht="165">
      <c r="A236" s="6" t="s">
        <v>894</v>
      </c>
      <c r="B236" s="6" t="s">
        <v>895</v>
      </c>
      <c r="C236" s="6" t="s">
        <v>571</v>
      </c>
      <c r="D236" s="11" t="s">
        <v>896</v>
      </c>
      <c r="E236" s="11" t="s">
        <v>897</v>
      </c>
      <c r="F236" s="11" t="s">
        <v>12</v>
      </c>
      <c r="G236" s="11" t="s">
        <v>12</v>
      </c>
      <c r="H236" s="11" t="s">
        <v>898</v>
      </c>
      <c r="I236" s="11" t="s">
        <v>899</v>
      </c>
    </row>
    <row r="237" ht="33">
      <c r="A237" s="6" t="s">
        <v>900</v>
      </c>
      <c r="B237" s="6" t="s">
        <v>901</v>
      </c>
      <c r="C237" s="6" t="s">
        <v>39</v>
      </c>
      <c r="D237" s="11" t="s">
        <v>12</v>
      </c>
      <c r="E237" s="11" t="s">
        <v>12</v>
      </c>
      <c r="F237" s="11" t="s">
        <v>12</v>
      </c>
      <c r="G237" s="11" t="s">
        <v>12</v>
      </c>
      <c r="H237" s="11" t="s">
        <v>12</v>
      </c>
      <c r="I237" s="11" t="s">
        <v>12</v>
      </c>
    </row>
    <row r="238" ht="181.5">
      <c r="A238" s="6" t="s">
        <v>902</v>
      </c>
      <c r="B238" s="6" t="s">
        <v>903</v>
      </c>
      <c r="C238" s="6" t="s">
        <v>904</v>
      </c>
      <c r="D238" s="21" t="s">
        <v>905</v>
      </c>
      <c r="E238" s="11" t="s">
        <v>906</v>
      </c>
      <c r="F238" s="11" t="s">
        <v>907</v>
      </c>
      <c r="G238" s="11" t="s">
        <v>12</v>
      </c>
      <c r="H238" s="11" t="s">
        <v>908</v>
      </c>
      <c r="I238" s="11" t="s">
        <v>12</v>
      </c>
    </row>
    <row r="239" ht="33">
      <c r="A239" s="6" t="s">
        <v>909</v>
      </c>
      <c r="B239" s="6" t="s">
        <v>910</v>
      </c>
      <c r="C239" s="6" t="s">
        <v>39</v>
      </c>
      <c r="D239" s="11" t="s">
        <v>12</v>
      </c>
      <c r="E239" s="11" t="s">
        <v>12</v>
      </c>
      <c r="F239" s="11" t="s">
        <v>12</v>
      </c>
      <c r="G239" s="11" t="s">
        <v>12</v>
      </c>
      <c r="H239" s="11" t="s">
        <v>12</v>
      </c>
      <c r="I239" s="11" t="s">
        <v>12</v>
      </c>
    </row>
    <row r="240" ht="165">
      <c r="A240" s="6" t="s">
        <v>911</v>
      </c>
      <c r="B240" s="6"/>
      <c r="C240" s="6" t="s">
        <v>912</v>
      </c>
      <c r="D240" s="11" t="s">
        <v>913</v>
      </c>
      <c r="E240" s="11" t="s">
        <v>12</v>
      </c>
      <c r="F240" s="11" t="s">
        <v>12</v>
      </c>
      <c r="G240" s="11" t="s">
        <v>12</v>
      </c>
      <c r="H240" s="11" t="s">
        <v>12</v>
      </c>
      <c r="I240" s="11" t="s">
        <v>12</v>
      </c>
    </row>
    <row r="241" ht="148.5">
      <c r="A241" s="6" t="s">
        <v>914</v>
      </c>
      <c r="B241" s="16" t="s">
        <v>915</v>
      </c>
      <c r="C241" s="6" t="s">
        <v>385</v>
      </c>
      <c r="D241" s="5" t="s">
        <v>638</v>
      </c>
      <c r="E241" s="11" t="s">
        <v>639</v>
      </c>
      <c r="F241" s="11" t="s">
        <v>640</v>
      </c>
      <c r="G241" s="7" t="s">
        <v>281</v>
      </c>
      <c r="H241" s="11" t="s">
        <v>12</v>
      </c>
      <c r="I241" s="11" t="s">
        <v>641</v>
      </c>
    </row>
    <row r="242" ht="148.5">
      <c r="A242" s="6" t="s">
        <v>916</v>
      </c>
      <c r="B242" s="16" t="s">
        <v>915</v>
      </c>
      <c r="C242" s="6" t="s">
        <v>385</v>
      </c>
      <c r="D242" s="5" t="s">
        <v>638</v>
      </c>
      <c r="E242" s="11" t="s">
        <v>639</v>
      </c>
      <c r="F242" s="11" t="s">
        <v>640</v>
      </c>
      <c r="G242" s="7" t="s">
        <v>281</v>
      </c>
      <c r="H242" s="11" t="s">
        <v>12</v>
      </c>
      <c r="I242" s="11" t="s">
        <v>641</v>
      </c>
    </row>
    <row r="243" ht="132">
      <c r="A243" s="6" t="s">
        <v>917</v>
      </c>
      <c r="B243" s="6" t="s">
        <v>918</v>
      </c>
      <c r="C243" s="6" t="s">
        <v>543</v>
      </c>
      <c r="D243" s="11" t="s">
        <v>919</v>
      </c>
      <c r="E243" s="11" t="s">
        <v>920</v>
      </c>
      <c r="F243" s="11" t="s">
        <v>12</v>
      </c>
      <c r="G243" s="11" t="s">
        <v>12</v>
      </c>
      <c r="H243" s="11" t="s">
        <v>12</v>
      </c>
      <c r="I243" s="11" t="s">
        <v>921</v>
      </c>
    </row>
    <row r="244" ht="132">
      <c r="A244" s="6" t="s">
        <v>922</v>
      </c>
      <c r="B244" s="6" t="s">
        <v>918</v>
      </c>
      <c r="C244" s="6" t="s">
        <v>543</v>
      </c>
      <c r="D244" s="11" t="s">
        <v>919</v>
      </c>
      <c r="E244" s="11" t="s">
        <v>920</v>
      </c>
      <c r="F244" s="11" t="s">
        <v>12</v>
      </c>
      <c r="G244" s="11" t="s">
        <v>12</v>
      </c>
      <c r="H244" s="11" t="s">
        <v>12</v>
      </c>
      <c r="I244" s="11" t="s">
        <v>921</v>
      </c>
    </row>
    <row r="245" ht="49.5">
      <c r="A245" s="6" t="s">
        <v>923</v>
      </c>
      <c r="B245" s="6" t="s">
        <v>924</v>
      </c>
      <c r="C245" s="6" t="s">
        <v>60</v>
      </c>
      <c r="D245" s="11" t="s">
        <v>12</v>
      </c>
      <c r="E245" s="11" t="s">
        <v>12</v>
      </c>
      <c r="F245" s="11" t="s">
        <v>12</v>
      </c>
      <c r="G245" s="11" t="s">
        <v>12</v>
      </c>
      <c r="H245" s="11" t="s">
        <v>12</v>
      </c>
      <c r="I245" s="11" t="s">
        <v>12</v>
      </c>
    </row>
    <row r="246" ht="33">
      <c r="A246" s="6" t="s">
        <v>925</v>
      </c>
      <c r="B246" s="6" t="s">
        <v>926</v>
      </c>
      <c r="C246" s="6" t="s">
        <v>426</v>
      </c>
      <c r="D246" s="11" t="s">
        <v>12</v>
      </c>
      <c r="E246" s="11" t="s">
        <v>12</v>
      </c>
      <c r="F246" s="11" t="s">
        <v>12</v>
      </c>
      <c r="G246" s="11" t="s">
        <v>12</v>
      </c>
      <c r="H246" s="11" t="s">
        <v>12</v>
      </c>
      <c r="I246" s="11" t="s">
        <v>12</v>
      </c>
    </row>
    <row r="247" ht="213" customHeight="1">
      <c r="A247" s="6" t="s">
        <v>927</v>
      </c>
      <c r="B247" s="6" t="s">
        <v>928</v>
      </c>
      <c r="C247" s="6" t="s">
        <v>929</v>
      </c>
      <c r="D247" s="11" t="s">
        <v>930</v>
      </c>
      <c r="E247" s="11" t="s">
        <v>12</v>
      </c>
      <c r="F247" s="11" t="s">
        <v>12</v>
      </c>
      <c r="G247" s="11" t="s">
        <v>12</v>
      </c>
      <c r="H247" s="11" t="s">
        <v>12</v>
      </c>
      <c r="I247" s="11" t="s">
        <v>12</v>
      </c>
    </row>
    <row r="248" ht="211.5" customHeight="1">
      <c r="A248" s="6" t="s">
        <v>931</v>
      </c>
      <c r="B248" s="6" t="s">
        <v>928</v>
      </c>
      <c r="C248" s="6" t="s">
        <v>929</v>
      </c>
      <c r="D248" s="11" t="s">
        <v>930</v>
      </c>
      <c r="E248" s="11" t="s">
        <v>12</v>
      </c>
      <c r="F248" s="11" t="s">
        <v>12</v>
      </c>
      <c r="G248" s="11" t="s">
        <v>12</v>
      </c>
      <c r="H248" s="11" t="s">
        <v>12</v>
      </c>
      <c r="I248" s="11" t="s">
        <v>12</v>
      </c>
    </row>
    <row r="249" ht="211.5" customHeight="1">
      <c r="A249" s="6" t="s">
        <v>932</v>
      </c>
      <c r="B249" s="6" t="s">
        <v>928</v>
      </c>
      <c r="C249" s="6" t="s">
        <v>929</v>
      </c>
      <c r="D249" s="11" t="s">
        <v>930</v>
      </c>
      <c r="E249" s="11" t="s">
        <v>12</v>
      </c>
      <c r="F249" s="11" t="s">
        <v>12</v>
      </c>
      <c r="G249" s="11" t="s">
        <v>12</v>
      </c>
      <c r="H249" s="11" t="s">
        <v>12</v>
      </c>
      <c r="I249" s="11" t="s">
        <v>12</v>
      </c>
    </row>
    <row r="250" ht="218.25" customHeight="1">
      <c r="A250" s="6" t="s">
        <v>933</v>
      </c>
      <c r="B250" s="6" t="s">
        <v>928</v>
      </c>
      <c r="C250" s="6" t="s">
        <v>929</v>
      </c>
      <c r="D250" s="11" t="s">
        <v>930</v>
      </c>
      <c r="E250" s="11" t="s">
        <v>12</v>
      </c>
      <c r="F250" s="11" t="s">
        <v>12</v>
      </c>
      <c r="G250" s="11" t="s">
        <v>12</v>
      </c>
      <c r="H250" s="11" t="s">
        <v>12</v>
      </c>
      <c r="I250" s="11" t="s">
        <v>12</v>
      </c>
    </row>
    <row r="251" ht="132">
      <c r="A251" s="6" t="s">
        <v>934</v>
      </c>
      <c r="B251" s="6" t="s">
        <v>935</v>
      </c>
      <c r="C251" s="6" t="s">
        <v>936</v>
      </c>
      <c r="D251" s="11" t="s">
        <v>937</v>
      </c>
      <c r="E251" s="11" t="s">
        <v>938</v>
      </c>
      <c r="F251" s="11" t="s">
        <v>939</v>
      </c>
      <c r="G251" s="11" t="s">
        <v>940</v>
      </c>
      <c r="H251" s="11"/>
      <c r="I251" s="11" t="s">
        <v>941</v>
      </c>
    </row>
    <row r="252" ht="33">
      <c r="A252" s="6" t="s">
        <v>942</v>
      </c>
      <c r="B252" s="6" t="s">
        <v>943</v>
      </c>
      <c r="C252" s="6" t="s">
        <v>944</v>
      </c>
      <c r="D252" s="11" t="s">
        <v>12</v>
      </c>
      <c r="E252" s="11" t="s">
        <v>12</v>
      </c>
      <c r="F252" s="11" t="s">
        <v>12</v>
      </c>
      <c r="G252" s="11" t="s">
        <v>12</v>
      </c>
      <c r="H252" s="11" t="s">
        <v>12</v>
      </c>
      <c r="I252" s="11" t="s">
        <v>12</v>
      </c>
    </row>
    <row r="253" ht="247.5">
      <c r="A253" s="6" t="s">
        <v>945</v>
      </c>
      <c r="B253" s="6" t="s">
        <v>946</v>
      </c>
      <c r="C253" s="6" t="s">
        <v>947</v>
      </c>
      <c r="D253" s="11" t="s">
        <v>948</v>
      </c>
      <c r="E253" s="11" t="s">
        <v>949</v>
      </c>
      <c r="F253" s="11" t="s">
        <v>950</v>
      </c>
      <c r="G253" s="11" t="s">
        <v>951</v>
      </c>
      <c r="H253" s="11" t="s">
        <v>952</v>
      </c>
      <c r="I253" s="11" t="s">
        <v>953</v>
      </c>
    </row>
    <row r="254" ht="247.5">
      <c r="A254" s="6" t="s">
        <v>954</v>
      </c>
      <c r="B254" s="6" t="s">
        <v>946</v>
      </c>
      <c r="C254" s="6" t="s">
        <v>947</v>
      </c>
      <c r="D254" s="11" t="s">
        <v>948</v>
      </c>
      <c r="E254" s="11" t="s">
        <v>949</v>
      </c>
      <c r="F254" s="11" t="s">
        <v>950</v>
      </c>
      <c r="G254" s="11" t="s">
        <v>951</v>
      </c>
      <c r="H254" s="11" t="s">
        <v>952</v>
      </c>
      <c r="I254" s="11" t="s">
        <v>953</v>
      </c>
    </row>
    <row r="255" ht="33">
      <c r="A255" s="6" t="s">
        <v>955</v>
      </c>
      <c r="B255" s="6" t="s">
        <v>956</v>
      </c>
      <c r="C255" s="6" t="s">
        <v>957</v>
      </c>
      <c r="D255" s="11" t="s">
        <v>12</v>
      </c>
      <c r="E255" s="11" t="s">
        <v>12</v>
      </c>
      <c r="F255" s="11" t="s">
        <v>12</v>
      </c>
      <c r="G255" s="11" t="s">
        <v>12</v>
      </c>
      <c r="H255" s="11" t="s">
        <v>12</v>
      </c>
      <c r="I255" s="11" t="s">
        <v>12</v>
      </c>
    </row>
    <row r="256" ht="115.5">
      <c r="A256" s="6" t="s">
        <v>958</v>
      </c>
      <c r="B256" s="6" t="s">
        <v>959</v>
      </c>
      <c r="C256" s="6" t="s">
        <v>936</v>
      </c>
      <c r="D256" s="11" t="s">
        <v>960</v>
      </c>
      <c r="E256" s="11" t="s">
        <v>961</v>
      </c>
      <c r="F256" s="11" t="s">
        <v>12</v>
      </c>
      <c r="G256" s="11" t="s">
        <v>12</v>
      </c>
      <c r="H256" s="11" t="s">
        <v>12</v>
      </c>
      <c r="I256" s="11" t="s">
        <v>472</v>
      </c>
    </row>
    <row r="257" ht="148.5">
      <c r="A257" s="6" t="s">
        <v>962</v>
      </c>
      <c r="B257" s="6" t="s">
        <v>963</v>
      </c>
      <c r="C257" s="6" t="s">
        <v>736</v>
      </c>
      <c r="D257" s="11" t="s">
        <v>964</v>
      </c>
      <c r="E257" s="11" t="s">
        <v>965</v>
      </c>
      <c r="F257" s="11" t="s">
        <v>12</v>
      </c>
      <c r="G257" s="11" t="s">
        <v>12</v>
      </c>
      <c r="H257" s="11" t="s">
        <v>12</v>
      </c>
      <c r="I257" s="11" t="s">
        <v>966</v>
      </c>
    </row>
    <row r="258" ht="33">
      <c r="A258" s="6" t="s">
        <v>967</v>
      </c>
      <c r="B258" s="6" t="s">
        <v>968</v>
      </c>
      <c r="C258" s="6" t="s">
        <v>969</v>
      </c>
      <c r="D258" s="11" t="s">
        <v>12</v>
      </c>
      <c r="E258" s="11" t="s">
        <v>12</v>
      </c>
      <c r="F258" s="11" t="s">
        <v>12</v>
      </c>
      <c r="G258" s="11" t="s">
        <v>12</v>
      </c>
      <c r="H258" s="11" t="s">
        <v>12</v>
      </c>
      <c r="I258" s="11" t="s">
        <v>12</v>
      </c>
    </row>
    <row r="259" ht="33">
      <c r="A259" s="6" t="s">
        <v>970</v>
      </c>
      <c r="B259" s="6" t="s">
        <v>971</v>
      </c>
      <c r="C259" s="6" t="s">
        <v>972</v>
      </c>
      <c r="D259" s="11" t="s">
        <v>12</v>
      </c>
      <c r="E259" s="11" t="s">
        <v>12</v>
      </c>
      <c r="F259" s="11" t="s">
        <v>12</v>
      </c>
      <c r="G259" s="11" t="s">
        <v>12</v>
      </c>
      <c r="H259" s="11" t="s">
        <v>12</v>
      </c>
      <c r="I259" s="11" t="s">
        <v>12</v>
      </c>
    </row>
    <row r="260" ht="33">
      <c r="A260" s="6" t="s">
        <v>973</v>
      </c>
      <c r="B260" s="6" t="s">
        <v>974</v>
      </c>
      <c r="C260" s="6" t="s">
        <v>975</v>
      </c>
      <c r="D260" s="11" t="s">
        <v>12</v>
      </c>
      <c r="E260" s="11" t="s">
        <v>12</v>
      </c>
      <c r="F260" s="11" t="s">
        <v>12</v>
      </c>
      <c r="G260" s="11" t="s">
        <v>12</v>
      </c>
      <c r="H260" s="11" t="s">
        <v>12</v>
      </c>
      <c r="I260" s="11" t="s">
        <v>12</v>
      </c>
    </row>
    <row r="261" ht="33">
      <c r="A261" s="6" t="s">
        <v>976</v>
      </c>
      <c r="B261" s="6" t="s">
        <v>977</v>
      </c>
      <c r="C261" s="6" t="s">
        <v>944</v>
      </c>
      <c r="D261" s="11" t="s">
        <v>12</v>
      </c>
      <c r="E261" s="11" t="s">
        <v>12</v>
      </c>
      <c r="F261" s="11" t="s">
        <v>12</v>
      </c>
      <c r="G261" s="11" t="s">
        <v>12</v>
      </c>
      <c r="H261" s="11" t="s">
        <v>12</v>
      </c>
      <c r="I261" s="11" t="s">
        <v>12</v>
      </c>
    </row>
    <row r="262" ht="132">
      <c r="A262" s="6" t="s">
        <v>978</v>
      </c>
      <c r="B262" s="6" t="s">
        <v>979</v>
      </c>
      <c r="C262" s="6" t="s">
        <v>104</v>
      </c>
      <c r="D262" s="11" t="s">
        <v>980</v>
      </c>
      <c r="E262" s="11" t="s">
        <v>981</v>
      </c>
      <c r="F262" s="11" t="s">
        <v>12</v>
      </c>
      <c r="G262" s="11" t="s">
        <v>12</v>
      </c>
      <c r="H262" s="11" t="s">
        <v>982</v>
      </c>
      <c r="I262" s="11" t="s">
        <v>983</v>
      </c>
    </row>
    <row r="263" ht="132">
      <c r="A263" s="6" t="s">
        <v>984</v>
      </c>
      <c r="B263" s="6" t="s">
        <v>979</v>
      </c>
      <c r="C263" s="6" t="s">
        <v>104</v>
      </c>
      <c r="D263" s="11" t="s">
        <v>980</v>
      </c>
      <c r="E263" s="11" t="s">
        <v>981</v>
      </c>
      <c r="F263" s="11" t="s">
        <v>12</v>
      </c>
      <c r="G263" s="11" t="s">
        <v>12</v>
      </c>
      <c r="H263" s="11" t="s">
        <v>982</v>
      </c>
      <c r="I263" s="11" t="s">
        <v>983</v>
      </c>
    </row>
    <row r="264" ht="181.5">
      <c r="A264" s="6" t="s">
        <v>985</v>
      </c>
      <c r="B264" s="6" t="s">
        <v>986</v>
      </c>
      <c r="C264" s="6" t="s">
        <v>571</v>
      </c>
      <c r="D264" s="11" t="s">
        <v>987</v>
      </c>
      <c r="E264" s="11" t="s">
        <v>988</v>
      </c>
      <c r="F264" s="11" t="s">
        <v>12</v>
      </c>
      <c r="G264" s="11" t="s">
        <v>12</v>
      </c>
      <c r="H264" s="11" t="s">
        <v>321</v>
      </c>
      <c r="I264" s="11" t="s">
        <v>989</v>
      </c>
    </row>
    <row r="265" ht="33">
      <c r="A265" s="6" t="s">
        <v>990</v>
      </c>
      <c r="B265" s="6" t="s">
        <v>991</v>
      </c>
      <c r="C265" s="6" t="s">
        <v>992</v>
      </c>
      <c r="D265" s="11" t="s">
        <v>12</v>
      </c>
      <c r="E265" s="11" t="s">
        <v>12</v>
      </c>
      <c r="F265" s="11" t="s">
        <v>12</v>
      </c>
      <c r="G265" s="11" t="s">
        <v>12</v>
      </c>
      <c r="H265" s="11" t="s">
        <v>12</v>
      </c>
      <c r="I265" s="11" t="s">
        <v>12</v>
      </c>
    </row>
    <row r="266" ht="49.5">
      <c r="A266" s="6" t="s">
        <v>993</v>
      </c>
      <c r="B266" s="6" t="s">
        <v>994</v>
      </c>
      <c r="C266" s="6" t="s">
        <v>995</v>
      </c>
      <c r="D266" s="11" t="s">
        <v>12</v>
      </c>
      <c r="E266" s="11" t="s">
        <v>12</v>
      </c>
      <c r="F266" s="11" t="s">
        <v>12</v>
      </c>
      <c r="G266" s="11" t="s">
        <v>12</v>
      </c>
      <c r="H266" s="11" t="s">
        <v>12</v>
      </c>
      <c r="I266" s="11" t="s">
        <v>12</v>
      </c>
    </row>
    <row r="267" ht="165">
      <c r="A267" s="6" t="s">
        <v>996</v>
      </c>
      <c r="B267" s="6" t="s">
        <v>997</v>
      </c>
      <c r="C267" s="6" t="s">
        <v>998</v>
      </c>
      <c r="D267" s="11" t="s">
        <v>999</v>
      </c>
      <c r="E267" s="11" t="s">
        <v>1000</v>
      </c>
      <c r="F267" s="11" t="s">
        <v>1001</v>
      </c>
      <c r="G267" s="11" t="s">
        <v>12</v>
      </c>
      <c r="H267" s="11" t="s">
        <v>1002</v>
      </c>
      <c r="I267" s="11" t="s">
        <v>1003</v>
      </c>
    </row>
    <row r="268" ht="49.5">
      <c r="A268" s="6" t="s">
        <v>1004</v>
      </c>
      <c r="B268" s="6" t="s">
        <v>1005</v>
      </c>
      <c r="C268" s="6" t="s">
        <v>1006</v>
      </c>
      <c r="D268" s="11" t="s">
        <v>12</v>
      </c>
      <c r="E268" s="11" t="s">
        <v>12</v>
      </c>
      <c r="F268" s="11" t="s">
        <v>12</v>
      </c>
      <c r="G268" s="11" t="s">
        <v>12</v>
      </c>
      <c r="H268" s="11" t="s">
        <v>12</v>
      </c>
      <c r="I268" s="11" t="s">
        <v>12</v>
      </c>
    </row>
    <row r="269" ht="66">
      <c r="A269" s="6" t="s">
        <v>1007</v>
      </c>
      <c r="B269" s="6" t="s">
        <v>1008</v>
      </c>
      <c r="C269" s="6" t="s">
        <v>366</v>
      </c>
      <c r="D269" s="11" t="s">
        <v>12</v>
      </c>
      <c r="E269" s="11" t="s">
        <v>12</v>
      </c>
      <c r="F269" s="11" t="s">
        <v>12</v>
      </c>
      <c r="G269" s="11" t="s">
        <v>12</v>
      </c>
      <c r="H269" s="11" t="s">
        <v>12</v>
      </c>
      <c r="I269" s="11" t="s">
        <v>12</v>
      </c>
    </row>
    <row r="270" ht="132">
      <c r="A270" s="6" t="s">
        <v>1009</v>
      </c>
      <c r="B270" s="6" t="s">
        <v>1010</v>
      </c>
      <c r="C270" s="6" t="s">
        <v>39</v>
      </c>
      <c r="D270" s="11" t="s">
        <v>1011</v>
      </c>
      <c r="E270" s="11" t="s">
        <v>1012</v>
      </c>
      <c r="F270" s="11" t="s">
        <v>1013</v>
      </c>
      <c r="G270" s="11" t="s">
        <v>12</v>
      </c>
      <c r="H270" s="11" t="s">
        <v>12</v>
      </c>
      <c r="I270" s="11" t="s">
        <v>12</v>
      </c>
    </row>
    <row r="271" ht="132">
      <c r="A271" s="6" t="s">
        <v>1014</v>
      </c>
      <c r="B271" s="6" t="s">
        <v>1010</v>
      </c>
      <c r="C271" s="6" t="s">
        <v>39</v>
      </c>
      <c r="D271" s="11" t="s">
        <v>1011</v>
      </c>
      <c r="E271" s="11" t="s">
        <v>1012</v>
      </c>
      <c r="F271" s="11" t="s">
        <v>1013</v>
      </c>
      <c r="G271" s="11" t="s">
        <v>12</v>
      </c>
      <c r="H271" s="11" t="s">
        <v>12</v>
      </c>
      <c r="I271" s="11" t="s">
        <v>12</v>
      </c>
    </row>
    <row r="272" ht="151.5" customHeight="1">
      <c r="A272" s="6" t="s">
        <v>1015</v>
      </c>
      <c r="B272" s="6" t="s">
        <v>1016</v>
      </c>
      <c r="C272" s="6" t="s">
        <v>39</v>
      </c>
      <c r="D272" s="11" t="s">
        <v>1017</v>
      </c>
      <c r="E272" s="11" t="s">
        <v>1018</v>
      </c>
      <c r="F272" s="11" t="s">
        <v>1019</v>
      </c>
      <c r="G272" s="11" t="s">
        <v>12</v>
      </c>
      <c r="H272" s="11" t="s">
        <v>1020</v>
      </c>
      <c r="I272" s="11" t="s">
        <v>1021</v>
      </c>
    </row>
    <row r="273" ht="148.5">
      <c r="A273" s="6" t="s">
        <v>1022</v>
      </c>
      <c r="B273" s="6" t="s">
        <v>1016</v>
      </c>
      <c r="C273" s="6" t="s">
        <v>39</v>
      </c>
      <c r="D273" s="11" t="s">
        <v>1017</v>
      </c>
      <c r="E273" s="11" t="s">
        <v>1018</v>
      </c>
      <c r="F273" s="11" t="s">
        <v>1019</v>
      </c>
      <c r="G273" s="11" t="s">
        <v>12</v>
      </c>
      <c r="H273" s="11" t="s">
        <v>1020</v>
      </c>
      <c r="I273" s="11" t="s">
        <v>1021</v>
      </c>
    </row>
    <row r="274" ht="66">
      <c r="A274" s="6" t="s">
        <v>1023</v>
      </c>
      <c r="B274" s="6" t="s">
        <v>1024</v>
      </c>
      <c r="C274" s="6" t="s">
        <v>1025</v>
      </c>
      <c r="D274" s="11" t="s">
        <v>12</v>
      </c>
      <c r="E274" s="11" t="s">
        <v>12</v>
      </c>
      <c r="F274" s="11" t="s">
        <v>12</v>
      </c>
      <c r="G274" s="11" t="s">
        <v>12</v>
      </c>
      <c r="H274" s="11" t="s">
        <v>12</v>
      </c>
      <c r="I274" s="11" t="s">
        <v>12</v>
      </c>
    </row>
    <row r="275" ht="49.5">
      <c r="A275" s="6" t="s">
        <v>1026</v>
      </c>
      <c r="B275" s="6" t="s">
        <v>1027</v>
      </c>
      <c r="C275" s="6" t="s">
        <v>326</v>
      </c>
      <c r="D275" s="11" t="s">
        <v>12</v>
      </c>
      <c r="E275" s="11" t="s">
        <v>12</v>
      </c>
      <c r="F275" s="11" t="s">
        <v>12</v>
      </c>
      <c r="G275" s="11" t="s">
        <v>12</v>
      </c>
      <c r="H275" s="11" t="s">
        <v>12</v>
      </c>
      <c r="I275" s="11" t="s">
        <v>12</v>
      </c>
    </row>
    <row r="276" ht="30" customHeight="1">
      <c r="A276" s="6" t="s">
        <v>1028</v>
      </c>
      <c r="B276" s="6" t="s">
        <v>1029</v>
      </c>
      <c r="C276" s="6" t="s">
        <v>1030</v>
      </c>
      <c r="D276" s="11" t="s">
        <v>12</v>
      </c>
      <c r="E276" s="11" t="s">
        <v>12</v>
      </c>
      <c r="F276" s="11" t="s">
        <v>12</v>
      </c>
      <c r="G276" s="11" t="s">
        <v>12</v>
      </c>
      <c r="H276" s="11" t="s">
        <v>12</v>
      </c>
      <c r="I276" s="11" t="s">
        <v>12</v>
      </c>
    </row>
    <row r="277" ht="33">
      <c r="A277" s="6" t="s">
        <v>1031</v>
      </c>
      <c r="B277" s="6" t="s">
        <v>1029</v>
      </c>
      <c r="C277" s="6" t="s">
        <v>1030</v>
      </c>
      <c r="D277" s="11" t="s">
        <v>12</v>
      </c>
      <c r="E277" s="11" t="s">
        <v>12</v>
      </c>
      <c r="F277" s="11" t="s">
        <v>12</v>
      </c>
      <c r="G277" s="11" t="s">
        <v>12</v>
      </c>
      <c r="H277" s="11" t="s">
        <v>12</v>
      </c>
      <c r="I277" s="11" t="s">
        <v>12</v>
      </c>
    </row>
    <row r="278" ht="33">
      <c r="A278" s="6" t="s">
        <v>1032</v>
      </c>
      <c r="B278" s="6" t="s">
        <v>1033</v>
      </c>
      <c r="C278" s="6" t="s">
        <v>1034</v>
      </c>
      <c r="D278" s="11" t="s">
        <v>12</v>
      </c>
      <c r="E278" s="11" t="s">
        <v>12</v>
      </c>
      <c r="F278" s="11" t="s">
        <v>12</v>
      </c>
      <c r="G278" s="11" t="s">
        <v>12</v>
      </c>
      <c r="H278" s="11" t="s">
        <v>12</v>
      </c>
      <c r="I278" s="11" t="s">
        <v>12</v>
      </c>
    </row>
    <row r="279" ht="33">
      <c r="A279" s="6" t="s">
        <v>1035</v>
      </c>
      <c r="B279" s="6" t="s">
        <v>1036</v>
      </c>
      <c r="C279" s="6" t="s">
        <v>39</v>
      </c>
      <c r="D279" s="11" t="s">
        <v>1037</v>
      </c>
      <c r="E279" s="11" t="s">
        <v>12</v>
      </c>
      <c r="F279" s="11" t="s">
        <v>12</v>
      </c>
      <c r="G279" s="11" t="s">
        <v>12</v>
      </c>
      <c r="H279" s="11" t="s">
        <v>12</v>
      </c>
      <c r="I279" s="11" t="s">
        <v>12</v>
      </c>
    </row>
    <row r="280" ht="181.5">
      <c r="A280" s="6" t="s">
        <v>1038</v>
      </c>
      <c r="B280" s="6" t="s">
        <v>1039</v>
      </c>
      <c r="C280" s="6" t="s">
        <v>366</v>
      </c>
      <c r="D280" s="11" t="s">
        <v>1040</v>
      </c>
      <c r="E280" s="11" t="s">
        <v>1041</v>
      </c>
      <c r="F280" s="11" t="s">
        <v>12</v>
      </c>
      <c r="G280" s="11" t="s">
        <v>12</v>
      </c>
      <c r="H280" s="11" t="s">
        <v>12</v>
      </c>
      <c r="I280" s="11" t="s">
        <v>128</v>
      </c>
    </row>
    <row r="281" ht="181.5">
      <c r="A281" s="6" t="s">
        <v>1042</v>
      </c>
      <c r="B281" s="6" t="s">
        <v>1039</v>
      </c>
      <c r="C281" s="6" t="s">
        <v>366</v>
      </c>
      <c r="D281" s="11" t="s">
        <v>1040</v>
      </c>
      <c r="E281" s="11" t="s">
        <v>1041</v>
      </c>
      <c r="F281" s="11" t="s">
        <v>12</v>
      </c>
      <c r="G281" s="11" t="s">
        <v>12</v>
      </c>
      <c r="H281" s="11" t="s">
        <v>12</v>
      </c>
      <c r="I281" s="11" t="s">
        <v>128</v>
      </c>
    </row>
    <row r="282" ht="181.5">
      <c r="A282" s="6" t="s">
        <v>1043</v>
      </c>
      <c r="B282" s="6" t="s">
        <v>1039</v>
      </c>
      <c r="C282" s="6" t="s">
        <v>366</v>
      </c>
      <c r="D282" s="11" t="s">
        <v>1040</v>
      </c>
      <c r="E282" s="11" t="s">
        <v>1041</v>
      </c>
      <c r="F282" s="11" t="s">
        <v>12</v>
      </c>
      <c r="G282" s="11" t="s">
        <v>12</v>
      </c>
      <c r="H282" s="11" t="s">
        <v>12</v>
      </c>
      <c r="I282" s="11" t="s">
        <v>128</v>
      </c>
    </row>
    <row r="283" ht="115.5">
      <c r="A283" s="6" t="s">
        <v>1044</v>
      </c>
      <c r="B283" s="6" t="s">
        <v>1045</v>
      </c>
      <c r="C283" s="6" t="s">
        <v>571</v>
      </c>
      <c r="D283" s="11" t="s">
        <v>1046</v>
      </c>
      <c r="E283" s="11" t="s">
        <v>1047</v>
      </c>
      <c r="F283" s="11" t="s">
        <v>12</v>
      </c>
      <c r="G283" s="11" t="s">
        <v>12</v>
      </c>
      <c r="H283" s="11" t="s">
        <v>321</v>
      </c>
      <c r="I283" s="11" t="s">
        <v>1048</v>
      </c>
    </row>
    <row r="284" ht="33">
      <c r="A284" s="6" t="s">
        <v>1049</v>
      </c>
      <c r="B284" s="6" t="s">
        <v>1050</v>
      </c>
      <c r="C284" s="6" t="s">
        <v>426</v>
      </c>
      <c r="D284" s="11" t="s">
        <v>12</v>
      </c>
      <c r="E284" s="11" t="s">
        <v>12</v>
      </c>
      <c r="F284" s="11" t="s">
        <v>12</v>
      </c>
      <c r="G284" s="11" t="s">
        <v>12</v>
      </c>
      <c r="H284" s="11" t="s">
        <v>12</v>
      </c>
      <c r="I284" s="11" t="s">
        <v>12</v>
      </c>
    </row>
    <row r="285" ht="49.5">
      <c r="A285" s="6" t="s">
        <v>1051</v>
      </c>
      <c r="B285" s="6" t="s">
        <v>1052</v>
      </c>
      <c r="C285" s="6" t="s">
        <v>57</v>
      </c>
      <c r="D285" s="11" t="s">
        <v>1053</v>
      </c>
      <c r="E285" s="11" t="s">
        <v>12</v>
      </c>
      <c r="F285" s="11" t="s">
        <v>12</v>
      </c>
      <c r="G285" s="11" t="s">
        <v>12</v>
      </c>
      <c r="H285" s="11" t="s">
        <v>12</v>
      </c>
      <c r="I285" s="11" t="s">
        <v>12</v>
      </c>
    </row>
    <row r="286" ht="66">
      <c r="A286" s="6" t="s">
        <v>1054</v>
      </c>
      <c r="B286" s="6" t="s">
        <v>1055</v>
      </c>
      <c r="C286" s="6" t="s">
        <v>1056</v>
      </c>
      <c r="D286" s="11" t="s">
        <v>1057</v>
      </c>
      <c r="E286" s="11" t="s">
        <v>1058</v>
      </c>
      <c r="F286" s="11" t="s">
        <v>1059</v>
      </c>
      <c r="G286" s="11" t="s">
        <v>12</v>
      </c>
      <c r="H286" s="11" t="s">
        <v>1060</v>
      </c>
      <c r="I286" s="11" t="s">
        <v>128</v>
      </c>
    </row>
    <row r="287" ht="66">
      <c r="A287" s="6" t="s">
        <v>1061</v>
      </c>
      <c r="B287" s="6" t="s">
        <v>1062</v>
      </c>
      <c r="C287" s="6" t="s">
        <v>39</v>
      </c>
      <c r="D287" s="11" t="s">
        <v>1063</v>
      </c>
      <c r="E287" s="11" t="s">
        <v>1064</v>
      </c>
      <c r="F287" s="11" t="s">
        <v>1065</v>
      </c>
      <c r="G287" s="11" t="s">
        <v>12</v>
      </c>
      <c r="H287" s="11" t="s">
        <v>12</v>
      </c>
      <c r="I287" s="11" t="s">
        <v>12</v>
      </c>
    </row>
    <row r="288" ht="280.5">
      <c r="A288" s="6" t="s">
        <v>1066</v>
      </c>
      <c r="B288" s="6" t="s">
        <v>1067</v>
      </c>
      <c r="C288" s="6" t="s">
        <v>476</v>
      </c>
      <c r="D288" s="11" t="s">
        <v>1068</v>
      </c>
      <c r="E288" s="19" t="s">
        <v>1069</v>
      </c>
      <c r="F288" s="11" t="s">
        <v>1070</v>
      </c>
      <c r="G288" s="11" t="s">
        <v>1071</v>
      </c>
      <c r="H288" s="18" t="s">
        <v>1072</v>
      </c>
      <c r="I288" s="11" t="s">
        <v>1073</v>
      </c>
    </row>
    <row r="289" ht="33">
      <c r="A289" s="6" t="s">
        <v>1074</v>
      </c>
      <c r="B289" s="6" t="s">
        <v>1075</v>
      </c>
      <c r="C289" s="6" t="s">
        <v>1076</v>
      </c>
      <c r="D289" s="1" t="s">
        <v>12</v>
      </c>
      <c r="E289" s="1" t="s">
        <v>12</v>
      </c>
      <c r="F289" s="1" t="s">
        <v>12</v>
      </c>
      <c r="G289" s="1" t="s">
        <v>12</v>
      </c>
      <c r="H289" s="1" t="s">
        <v>12</v>
      </c>
      <c r="I289" s="1" t="s">
        <v>12</v>
      </c>
    </row>
    <row r="290" ht="183" customHeight="1">
      <c r="A290" s="6" t="s">
        <v>1077</v>
      </c>
      <c r="B290" s="6" t="s">
        <v>1078</v>
      </c>
      <c r="C290" s="6" t="s">
        <v>60</v>
      </c>
      <c r="D290" s="11" t="s">
        <v>1079</v>
      </c>
      <c r="E290" s="18" t="s">
        <v>1080</v>
      </c>
      <c r="F290" s="11" t="s">
        <v>1081</v>
      </c>
      <c r="G290" s="11" t="s">
        <v>1082</v>
      </c>
      <c r="H290" s="11" t="s">
        <v>1083</v>
      </c>
      <c r="I290" s="11" t="s">
        <v>1084</v>
      </c>
    </row>
    <row r="291" ht="198">
      <c r="A291" s="6" t="s">
        <v>1085</v>
      </c>
      <c r="B291" s="6" t="s">
        <v>1078</v>
      </c>
      <c r="C291" s="6" t="s">
        <v>60</v>
      </c>
      <c r="D291" s="11" t="s">
        <v>1079</v>
      </c>
      <c r="E291" s="18" t="s">
        <v>1080</v>
      </c>
      <c r="F291" s="11" t="s">
        <v>1081</v>
      </c>
      <c r="G291" s="11" t="s">
        <v>1082</v>
      </c>
      <c r="H291" s="11" t="s">
        <v>1083</v>
      </c>
      <c r="I291" s="11" t="s">
        <v>1084</v>
      </c>
    </row>
    <row r="292" ht="165">
      <c r="A292" s="6" t="s">
        <v>1086</v>
      </c>
      <c r="B292" s="6" t="s">
        <v>1087</v>
      </c>
      <c r="C292" s="6" t="s">
        <v>104</v>
      </c>
      <c r="D292" s="11" t="s">
        <v>1088</v>
      </c>
      <c r="E292" s="11" t="s">
        <v>1089</v>
      </c>
      <c r="F292" s="11" t="s">
        <v>12</v>
      </c>
      <c r="G292" s="11" t="s">
        <v>1090</v>
      </c>
      <c r="H292" s="11" t="s">
        <v>982</v>
      </c>
      <c r="I292" s="11" t="s">
        <v>12</v>
      </c>
    </row>
    <row r="293" ht="33">
      <c r="A293" s="6" t="s">
        <v>1091</v>
      </c>
      <c r="B293" s="6" t="s">
        <v>1092</v>
      </c>
      <c r="C293" s="6" t="s">
        <v>1093</v>
      </c>
      <c r="D293" s="11" t="s">
        <v>12</v>
      </c>
      <c r="E293" s="11" t="s">
        <v>12</v>
      </c>
      <c r="F293" s="11" t="s">
        <v>12</v>
      </c>
      <c r="G293" s="11" t="s">
        <v>12</v>
      </c>
      <c r="H293" s="11" t="s">
        <v>12</v>
      </c>
      <c r="I293" s="11" t="s">
        <v>12</v>
      </c>
    </row>
    <row r="294" ht="33">
      <c r="A294" s="6" t="s">
        <v>1094</v>
      </c>
      <c r="B294" s="6" t="s">
        <v>1095</v>
      </c>
      <c r="C294" s="6" t="s">
        <v>179</v>
      </c>
      <c r="D294" s="11" t="s">
        <v>12</v>
      </c>
      <c r="E294" s="11" t="s">
        <v>12</v>
      </c>
      <c r="F294" s="11" t="s">
        <v>12</v>
      </c>
      <c r="G294" s="11" t="s">
        <v>12</v>
      </c>
      <c r="H294" s="11" t="s">
        <v>12</v>
      </c>
      <c r="I294" s="11" t="s">
        <v>12</v>
      </c>
    </row>
    <row r="295" ht="99">
      <c r="A295" s="6" t="s">
        <v>1096</v>
      </c>
      <c r="B295" s="6" t="s">
        <v>1097</v>
      </c>
      <c r="C295" s="6" t="s">
        <v>1098</v>
      </c>
      <c r="D295" s="11" t="s">
        <v>12</v>
      </c>
      <c r="E295" s="11" t="s">
        <v>12</v>
      </c>
      <c r="F295" s="11" t="s">
        <v>12</v>
      </c>
      <c r="G295" s="11" t="s">
        <v>12</v>
      </c>
      <c r="H295" s="11" t="s">
        <v>12</v>
      </c>
      <c r="I295" s="11" t="s">
        <v>12</v>
      </c>
    </row>
    <row r="296" ht="33">
      <c r="A296" s="6" t="s">
        <v>1099</v>
      </c>
      <c r="B296" s="6"/>
      <c r="C296" s="6" t="s">
        <v>1100</v>
      </c>
      <c r="D296" s="11" t="s">
        <v>12</v>
      </c>
      <c r="E296" s="11" t="s">
        <v>12</v>
      </c>
      <c r="F296" s="11" t="s">
        <v>12</v>
      </c>
      <c r="G296" s="11" t="s">
        <v>12</v>
      </c>
      <c r="H296" s="11" t="s">
        <v>12</v>
      </c>
      <c r="I296" s="11" t="s">
        <v>12</v>
      </c>
    </row>
    <row r="297">
      <c r="A297" s="6" t="s">
        <v>1101</v>
      </c>
      <c r="B297" s="6" t="s">
        <v>1102</v>
      </c>
      <c r="C297" s="6" t="s">
        <v>1103</v>
      </c>
      <c r="D297" s="11" t="s">
        <v>12</v>
      </c>
      <c r="E297" s="11" t="s">
        <v>12</v>
      </c>
      <c r="F297" s="11" t="s">
        <v>12</v>
      </c>
      <c r="G297" s="11" t="s">
        <v>12</v>
      </c>
      <c r="H297" s="11" t="s">
        <v>12</v>
      </c>
      <c r="I297" s="11" t="s">
        <v>12</v>
      </c>
    </row>
    <row r="298" ht="49.5">
      <c r="A298" s="6" t="s">
        <v>1104</v>
      </c>
      <c r="B298" s="6" t="s">
        <v>1105</v>
      </c>
      <c r="C298" s="6" t="s">
        <v>1106</v>
      </c>
      <c r="D298" s="11" t="s">
        <v>12</v>
      </c>
      <c r="E298" s="11" t="s">
        <v>12</v>
      </c>
      <c r="F298" s="11" t="s">
        <v>12</v>
      </c>
      <c r="G298" s="11" t="s">
        <v>12</v>
      </c>
      <c r="H298" s="11" t="s">
        <v>12</v>
      </c>
      <c r="I298" s="11" t="s">
        <v>12</v>
      </c>
    </row>
    <row r="299">
      <c r="A299" s="6" t="s">
        <v>1107</v>
      </c>
      <c r="B299" s="6" t="s">
        <v>1108</v>
      </c>
      <c r="C299" s="6" t="s">
        <v>1109</v>
      </c>
      <c r="D299" s="11" t="s">
        <v>12</v>
      </c>
      <c r="E299" s="11" t="s">
        <v>12</v>
      </c>
      <c r="F299" s="11" t="s">
        <v>12</v>
      </c>
      <c r="G299" s="11" t="s">
        <v>12</v>
      </c>
      <c r="H299" s="11" t="s">
        <v>12</v>
      </c>
      <c r="I299" s="11" t="s">
        <v>12</v>
      </c>
    </row>
    <row r="300">
      <c r="A300" s="6" t="s">
        <v>1110</v>
      </c>
      <c r="B300" s="6" t="s">
        <v>1111</v>
      </c>
      <c r="C300" s="6" t="s">
        <v>301</v>
      </c>
      <c r="D300" s="11" t="s">
        <v>12</v>
      </c>
      <c r="E300" s="11" t="s">
        <v>12</v>
      </c>
      <c r="F300" s="11" t="s">
        <v>12</v>
      </c>
      <c r="G300" s="11" t="s">
        <v>12</v>
      </c>
      <c r="H300" s="11" t="s">
        <v>12</v>
      </c>
      <c r="I300" s="11" t="s">
        <v>12</v>
      </c>
    </row>
    <row r="301" ht="33">
      <c r="A301" s="6" t="s">
        <v>1112</v>
      </c>
      <c r="B301" s="6" t="s">
        <v>1113</v>
      </c>
      <c r="C301" s="6" t="s">
        <v>1093</v>
      </c>
      <c r="D301" s="11" t="s">
        <v>1114</v>
      </c>
      <c r="E301" s="11" t="s">
        <v>12</v>
      </c>
      <c r="F301" s="11" t="s">
        <v>12</v>
      </c>
      <c r="G301" s="11" t="s">
        <v>12</v>
      </c>
      <c r="H301" s="11" t="s">
        <v>12</v>
      </c>
      <c r="I301" s="11" t="s">
        <v>12</v>
      </c>
    </row>
    <row r="302" ht="99">
      <c r="A302" s="6" t="s">
        <v>1115</v>
      </c>
      <c r="B302" s="6" t="s">
        <v>1116</v>
      </c>
      <c r="C302" s="10" t="s">
        <v>1117</v>
      </c>
      <c r="D302" s="11" t="s">
        <v>1118</v>
      </c>
      <c r="E302" s="11" t="s">
        <v>1119</v>
      </c>
      <c r="F302" s="11" t="s">
        <v>358</v>
      </c>
      <c r="G302" s="11" t="s">
        <v>12</v>
      </c>
      <c r="H302" s="11" t="s">
        <v>1120</v>
      </c>
      <c r="I302" s="11" t="s">
        <v>1121</v>
      </c>
    </row>
    <row r="303" ht="99">
      <c r="A303" s="6" t="s">
        <v>1122</v>
      </c>
      <c r="B303" s="6" t="s">
        <v>1116</v>
      </c>
      <c r="C303" s="10" t="s">
        <v>1117</v>
      </c>
      <c r="D303" s="11" t="s">
        <v>1118</v>
      </c>
      <c r="E303" s="11" t="s">
        <v>1119</v>
      </c>
      <c r="F303" s="11" t="s">
        <v>358</v>
      </c>
      <c r="G303" s="11" t="s">
        <v>12</v>
      </c>
      <c r="H303" s="11" t="s">
        <v>1120</v>
      </c>
      <c r="I303" s="11" t="s">
        <v>1121</v>
      </c>
    </row>
    <row r="304" ht="33">
      <c r="A304" s="6" t="s">
        <v>1123</v>
      </c>
      <c r="B304" s="6"/>
      <c r="C304" s="6" t="s">
        <v>1124</v>
      </c>
      <c r="D304" s="11" t="s">
        <v>12</v>
      </c>
      <c r="E304" s="11" t="s">
        <v>12</v>
      </c>
      <c r="F304" s="11" t="s">
        <v>12</v>
      </c>
      <c r="G304" s="11" t="s">
        <v>12</v>
      </c>
      <c r="H304" s="11" t="s">
        <v>12</v>
      </c>
      <c r="I304" s="11" t="s">
        <v>12</v>
      </c>
    </row>
    <row r="305" ht="33">
      <c r="A305" s="6" t="s">
        <v>1125</v>
      </c>
      <c r="B305" s="6" t="s">
        <v>1126</v>
      </c>
      <c r="C305" s="6" t="s">
        <v>301</v>
      </c>
      <c r="D305" s="11" t="s">
        <v>12</v>
      </c>
      <c r="E305" s="11" t="s">
        <v>12</v>
      </c>
      <c r="F305" s="11" t="s">
        <v>12</v>
      </c>
      <c r="G305" s="11" t="s">
        <v>12</v>
      </c>
      <c r="H305" s="11" t="s">
        <v>12</v>
      </c>
      <c r="I305" s="11" t="s">
        <v>12</v>
      </c>
    </row>
    <row r="306" ht="82.5">
      <c r="A306" s="6" t="s">
        <v>1127</v>
      </c>
      <c r="B306" s="6" t="s">
        <v>1128</v>
      </c>
      <c r="C306" s="6" t="s">
        <v>1129</v>
      </c>
      <c r="D306" s="11" t="s">
        <v>1130</v>
      </c>
      <c r="E306" s="11" t="s">
        <v>1131</v>
      </c>
      <c r="F306" s="11" t="s">
        <v>1132</v>
      </c>
      <c r="G306" s="11" t="s">
        <v>12</v>
      </c>
      <c r="H306" s="11" t="s">
        <v>1133</v>
      </c>
      <c r="I306" s="11" t="s">
        <v>1134</v>
      </c>
    </row>
    <row r="307" ht="148.5">
      <c r="A307" s="1" t="s">
        <v>1135</v>
      </c>
      <c r="B307" s="1" t="s">
        <v>1136</v>
      </c>
      <c r="C307" s="1" t="s">
        <v>1137</v>
      </c>
      <c r="D307" s="11" t="s">
        <v>1138</v>
      </c>
      <c r="E307" s="11" t="s">
        <v>1139</v>
      </c>
      <c r="F307" s="11" t="s">
        <v>1140</v>
      </c>
      <c r="G307" s="11" t="s">
        <v>1141</v>
      </c>
      <c r="H307" s="11" t="s">
        <v>1142</v>
      </c>
      <c r="I307" s="1" t="s">
        <v>12</v>
      </c>
    </row>
  </sheetData>
  <mergeCells count="6">
    <mergeCell ref="A45:A46"/>
    <mergeCell ref="B45:B46"/>
    <mergeCell ref="C45:C46"/>
    <mergeCell ref="A58:A59"/>
    <mergeCell ref="B58:B59"/>
    <mergeCell ref="C58:C59"/>
  </mergeCells>
  <printOptions headings="0" gridLines="0"/>
  <pageMargins left="0.51181102362204722" right="0.51181102362204722" top="0.78740157480314954" bottom="0.78740157480314954" header="0.31496062992125984" footer="0.3149606299212598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>
    <oddHeader>&amp;L
&amp;C&amp;"-,Negrito"&amp;18&amp;K00-036Manual de Interação Droga Nutriente</oddHeader>
    <oddFooter>&amp;C&amp;16HOSPITAL DAHER -LAGO SUL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enableFormatConditionsCalculation="0">
    <outlinePr applyStyles="0" summaryBelow="1" summaryRight="1" showOutlineSymbols="1"/>
    <pageSetUpPr autoPageBreaks="1" fitToPage="1"/>
  </sheetPr>
  <sheetViews>
    <sheetView showGridLines="0" topLeftCell="A2" zoomScale="78" workbookViewId="0">
      <selection activeCell="G12" activeCellId="0" sqref="G12"/>
    </sheetView>
  </sheetViews>
  <sheetFormatPr defaultColWidth="8.85546875" defaultRowHeight="16.5"/>
  <cols>
    <col customWidth="1" min="1" max="1" style="26" width="23.28515625"/>
    <col customWidth="1" min="2" max="2" style="26" width="14.42578125"/>
    <col customWidth="1" min="3" max="3" style="26" width="20.42578125"/>
    <col customWidth="1" min="4" max="4" style="26" width="26.140625"/>
    <col customWidth="1" min="5" max="5" style="26" width="19"/>
    <col customWidth="1" min="6" max="6" style="26" width="15.42578125"/>
    <col customWidth="1" min="7" max="7" style="26" width="16.28515625"/>
    <col min="8" max="16384" style="26" width="8.85546875"/>
  </cols>
  <sheetData>
    <row r="1" s="26" customFormat="1" ht="87" customHeight="1">
      <c r="A1" s="27"/>
      <c r="B1" s="28"/>
      <c r="C1" s="29" t="s">
        <v>1143</v>
      </c>
      <c r="D1" s="30"/>
      <c r="E1" s="30"/>
      <c r="F1" s="30"/>
      <c r="G1" s="31"/>
    </row>
    <row r="2" s="26" customFormat="1" ht="12.949999999999999" customHeight="1">
      <c r="A2" s="32"/>
      <c r="B2" s="32"/>
      <c r="C2" s="33"/>
      <c r="D2" s="33"/>
      <c r="E2" s="33"/>
      <c r="F2" s="33"/>
      <c r="G2" s="33"/>
    </row>
    <row r="3">
      <c r="A3" s="34" t="s">
        <v>1144</v>
      </c>
      <c r="B3" s="34"/>
      <c r="C3" s="35"/>
      <c r="D3" s="35"/>
      <c r="E3" s="35"/>
      <c r="F3" s="35"/>
      <c r="G3" s="35"/>
    </row>
    <row r="4" s="26" customFormat="1">
      <c r="A4" s="34" t="s">
        <v>1145</v>
      </c>
      <c r="B4" s="34"/>
      <c r="C4" s="35"/>
      <c r="D4" s="35"/>
      <c r="E4" s="35"/>
      <c r="F4" s="35"/>
      <c r="G4" s="35"/>
    </row>
    <row r="5">
      <c r="A5" s="34" t="s">
        <v>1146</v>
      </c>
      <c r="B5" s="34"/>
      <c r="C5" s="36"/>
      <c r="D5" s="36"/>
      <c r="E5" s="36"/>
      <c r="F5" s="36"/>
      <c r="G5" s="36"/>
    </row>
    <row r="6" s="26" customFormat="1">
      <c r="A6" s="34" t="s">
        <v>1147</v>
      </c>
      <c r="B6" s="34"/>
      <c r="C6" s="37">
        <f>INT(C8-C5)/365.25</f>
        <v>0</v>
      </c>
      <c r="D6" s="37"/>
      <c r="E6" s="37"/>
      <c r="F6" s="37"/>
      <c r="G6" s="37"/>
    </row>
    <row r="7">
      <c r="A7" s="34" t="s">
        <v>1148</v>
      </c>
      <c r="B7" s="34"/>
      <c r="C7" s="36"/>
      <c r="D7" s="36"/>
      <c r="E7" s="38" t="str">
        <f t="shared" ref="E7:E8" si="0">TEXT(C7,"dddd")</f>
        <v>sábado</v>
      </c>
      <c r="F7" s="38"/>
      <c r="G7" s="38"/>
    </row>
    <row r="8">
      <c r="A8" s="34" t="s">
        <v>1149</v>
      </c>
      <c r="B8" s="34"/>
      <c r="C8" s="36"/>
      <c r="D8" s="36"/>
      <c r="E8" s="38" t="str">
        <f t="shared" si="0"/>
        <v>sábado</v>
      </c>
      <c r="F8" s="38"/>
      <c r="G8" s="38"/>
    </row>
    <row r="9">
      <c r="A9" s="34" t="s">
        <v>1150</v>
      </c>
      <c r="B9" s="34"/>
      <c r="C9" s="35"/>
      <c r="D9" s="39"/>
      <c r="E9" s="39"/>
      <c r="F9" s="39"/>
      <c r="G9" s="39"/>
    </row>
    <row r="10" ht="7.5" customHeight="1">
      <c r="A10" s="26"/>
      <c r="B10" s="26"/>
      <c r="C10" s="26"/>
      <c r="D10" s="26"/>
      <c r="E10" s="26"/>
      <c r="F10" s="26"/>
      <c r="G10" s="26"/>
    </row>
    <row r="11" ht="63" customHeight="1">
      <c r="A11" s="40" t="s">
        <v>0</v>
      </c>
      <c r="B11" s="40" t="s">
        <v>1</v>
      </c>
      <c r="C11" s="40" t="s">
        <v>4</v>
      </c>
      <c r="D11" s="40" t="s">
        <v>3</v>
      </c>
      <c r="E11" s="40" t="s">
        <v>1151</v>
      </c>
      <c r="F11" s="40" t="s">
        <v>1152</v>
      </c>
      <c r="G11" s="40" t="s">
        <v>1153</v>
      </c>
    </row>
    <row r="12" ht="215.09999999999999" customHeight="1">
      <c r="A12" s="41"/>
      <c r="B12" s="41" t="str">
        <f>IFERROR(VLOOKUP(A12,'Banco de dados '!1:1048576,2,FALSE),"")</f>
        <v/>
      </c>
      <c r="C12" s="41" t="str">
        <f>IFERROR(VLOOKUP(A12,'Banco de dados '!1:1048576,2,FALSE),"")</f>
        <v/>
      </c>
      <c r="D12" s="41" t="str">
        <f>IFERROR(VLOOKUP(A12,'Banco de dados '!1:1048576,4,FALSE),"")</f>
        <v/>
      </c>
      <c r="E12" s="41" t="str">
        <f>IFERROR(VLOOKUP(A12,'Banco de dados '!1:1048576,8,FALSE),"")</f>
        <v/>
      </c>
      <c r="F12" s="41" t="str">
        <f>IFERROR(VLOOKUP(A12,'Banco de dados '!1:1048576,7,FALSE),"")</f>
        <v/>
      </c>
      <c r="G12" s="41" t="str">
        <f>IFERROR(VLOOKUP(A12,'Banco de dados '!1:1048576,6,FALSE),"")</f>
        <v/>
      </c>
    </row>
    <row r="13" ht="215.09999999999999" customHeight="1">
      <c r="A13" s="41"/>
      <c r="B13" s="41" t="str">
        <f>IFERROR(VLOOKUP(A13,'Banco de dados '!1:1048576,2,FALSE),"")</f>
        <v/>
      </c>
      <c r="C13" s="41" t="str">
        <f>IFERROR(VLOOKUP(A13,'Banco de dados '!1:1048576,2,FALSE),"")</f>
        <v/>
      </c>
      <c r="D13" s="41" t="str">
        <f>IFERROR(VLOOKUP(A13,'Banco de dados '!1:1048576,4,FALSE),"")</f>
        <v/>
      </c>
      <c r="E13" s="41" t="str">
        <f>IFERROR(VLOOKUP(A13,'Banco de dados '!1:1048576,8,FALSE),"")</f>
        <v/>
      </c>
      <c r="F13" s="41" t="str">
        <f>IFERROR(VLOOKUP(A13,'Banco de dados '!1:1048576,7,FALSE),"")</f>
        <v/>
      </c>
      <c r="G13" s="41" t="str">
        <f>IFERROR(VLOOKUP(A13,'Banco de dados '!1:1048576,6,FALSE),"")</f>
        <v/>
      </c>
    </row>
    <row r="14" ht="215.09999999999999" customHeight="1">
      <c r="A14" s="41"/>
      <c r="B14" s="41" t="str">
        <f>IFERROR(VLOOKUP(A14,'Banco de dados '!1:1048576,2,FALSE),"")</f>
        <v/>
      </c>
      <c r="C14" s="41" t="str">
        <f>IFERROR(VLOOKUP(A14,'Banco de dados '!1:1048576,2,FALSE),"")</f>
        <v/>
      </c>
      <c r="D14" s="41" t="str">
        <f>IFERROR(VLOOKUP(A14,'Banco de dados '!1:1048576,4,FALSE),"")</f>
        <v/>
      </c>
      <c r="E14" s="41" t="str">
        <f>IFERROR(VLOOKUP(A14,'Banco de dados '!1:1048576,8,FALSE),"")</f>
        <v/>
      </c>
      <c r="F14" s="41" t="str">
        <f>IFERROR(VLOOKUP(A14,'Banco de dados '!1:1048576,7,FALSE),"")</f>
        <v/>
      </c>
      <c r="G14" s="41" t="str">
        <f>IFERROR(VLOOKUP(A14,'Banco de dados '!1:1048576,6,FALSE),"")</f>
        <v/>
      </c>
    </row>
    <row r="15" ht="215.09999999999999" customHeight="1">
      <c r="A15" s="41"/>
      <c r="B15" s="41" t="str">
        <f>IFERROR(VLOOKUP(A15,'Banco de dados '!1:1048576,2,FALSE),"")</f>
        <v/>
      </c>
      <c r="C15" s="41" t="str">
        <f>IFERROR(VLOOKUP(A15,'Banco de dados '!1:1048576,2,FALSE),"")</f>
        <v/>
      </c>
      <c r="D15" s="41" t="str">
        <f>IFERROR(VLOOKUP(A15,'Banco de dados '!1:1048576,4,FALSE),"")</f>
        <v/>
      </c>
      <c r="E15" s="41" t="str">
        <f>IFERROR(VLOOKUP(A15,'Banco de dados '!1:1048576,8,FALSE),"")</f>
        <v/>
      </c>
      <c r="F15" s="41" t="str">
        <f>IFERROR(VLOOKUP(A15,'Banco de dados '!1:1048576,7,FALSE),"")</f>
        <v/>
      </c>
      <c r="G15" s="41" t="str">
        <f>IFERROR(VLOOKUP(A15,'Banco de dados '!1:1048576,6,FALSE),"")</f>
        <v/>
      </c>
    </row>
    <row r="16" ht="215.09999999999999" customHeight="1">
      <c r="A16" s="41"/>
      <c r="B16" s="41" t="str">
        <f>IFERROR(VLOOKUP(A16,'Banco de dados '!1:1048576,2,FALSE),"")</f>
        <v/>
      </c>
      <c r="C16" s="41" t="str">
        <f>IFERROR(VLOOKUP(A16,'Banco de dados '!1:1048576,2,FALSE),"")</f>
        <v/>
      </c>
      <c r="D16" s="41" t="str">
        <f>IFERROR(VLOOKUP(A16,'Banco de dados '!1:1048576,4,FALSE),"")</f>
        <v/>
      </c>
      <c r="E16" s="41" t="str">
        <f>IFERROR(VLOOKUP(A16,'Banco de dados '!1:1048576,8,FALSE),"")</f>
        <v/>
      </c>
      <c r="F16" s="41" t="str">
        <f>IFERROR(VLOOKUP(A16,'Banco de dados '!1:1048576,7,FALSE),"")</f>
        <v/>
      </c>
      <c r="G16" s="41" t="str">
        <f>IFERROR(VLOOKUP(A16,'Banco de dados '!1:1048576,6,FALSE),"")</f>
        <v/>
      </c>
    </row>
    <row r="17" ht="215.09999999999999" customHeight="1">
      <c r="A17" s="41"/>
      <c r="B17" s="41" t="str">
        <f>IFERROR(VLOOKUP(A17,'Banco de dados '!1:1048576,2,FALSE),"")</f>
        <v/>
      </c>
      <c r="C17" s="41" t="str">
        <f>IFERROR(VLOOKUP(A17,'Banco de dados '!1:1048576,2,FALSE),"")</f>
        <v/>
      </c>
      <c r="D17" s="41" t="str">
        <f>IFERROR(VLOOKUP(A17,'Banco de dados '!1:1048576,4,FALSE),"")</f>
        <v/>
      </c>
      <c r="E17" s="41" t="str">
        <f>IFERROR(VLOOKUP(A17,'Banco de dados '!1:1048576,8,FALSE),"")</f>
        <v/>
      </c>
      <c r="F17" s="41" t="str">
        <f>IFERROR(VLOOKUP(A17,'Banco de dados '!1:1048576,7,FALSE),"")</f>
        <v/>
      </c>
      <c r="G17" s="41" t="str">
        <f>IFERROR(VLOOKUP(A17,'Banco de dados '!1:1048576,6,FALSE),"")</f>
        <v/>
      </c>
    </row>
    <row r="18" ht="215.09999999999999" customHeight="1">
      <c r="A18" s="41"/>
      <c r="B18" s="41" t="str">
        <f>IFERROR(VLOOKUP(A18,'Banco de dados '!1:1048576,2,FALSE),"")</f>
        <v/>
      </c>
      <c r="C18" s="41" t="str">
        <f>IFERROR(VLOOKUP(A18,'Banco de dados '!1:1048576,2,FALSE),"")</f>
        <v/>
      </c>
      <c r="D18" s="41" t="str">
        <f>IFERROR(VLOOKUP(A18,'Banco de dados '!1:1048576,4,FALSE),"")</f>
        <v/>
      </c>
      <c r="E18" s="41" t="str">
        <f>IFERROR(VLOOKUP(A18,'Banco de dados '!1:1048576,8,FALSE),"")</f>
        <v/>
      </c>
      <c r="F18" s="41" t="str">
        <f>IFERROR(VLOOKUP(A18,'Banco de dados '!1:1048576,7,FALSE),"")</f>
        <v/>
      </c>
      <c r="G18" s="41" t="str">
        <f>IFERROR(VLOOKUP(A18,'Banco de dados '!1:1048576,6,FALSE),"")</f>
        <v/>
      </c>
    </row>
    <row r="19" ht="215.09999999999999" customHeight="1">
      <c r="A19" s="41"/>
      <c r="B19" s="41" t="str">
        <f>IFERROR(VLOOKUP(A19,'Banco de dados '!1:1048576,2,FALSE),"")</f>
        <v/>
      </c>
      <c r="C19" s="41" t="str">
        <f>IFERROR(VLOOKUP(A19,'Banco de dados '!1:1048576,2,FALSE),"")</f>
        <v/>
      </c>
      <c r="D19" s="41" t="str">
        <f>IFERROR(VLOOKUP(A19,'Banco de dados '!1:1048576,4,FALSE),"")</f>
        <v/>
      </c>
      <c r="E19" s="41" t="str">
        <f>IFERROR(VLOOKUP(A19,'Banco de dados '!1:1048576,8,FALSE),"")</f>
        <v/>
      </c>
      <c r="F19" s="41" t="str">
        <f>IFERROR(VLOOKUP(A19,'Banco de dados '!1:1048576,7,FALSE),"")</f>
        <v/>
      </c>
      <c r="G19" s="41" t="str">
        <f>IFERROR(VLOOKUP(A19,'Banco de dados '!1:1048576,6,FALSE),"")</f>
        <v/>
      </c>
    </row>
    <row r="20" ht="215.09999999999999" customHeight="1">
      <c r="A20" s="41"/>
      <c r="B20" s="41" t="str">
        <f>IFERROR(VLOOKUP(A20,'Banco de dados '!1:1048576,2,FALSE),"")</f>
        <v/>
      </c>
      <c r="C20" s="41" t="str">
        <f>IFERROR(VLOOKUP(A20,'Banco de dados '!1:1048576,2,FALSE),"")</f>
        <v/>
      </c>
      <c r="D20" s="41" t="str">
        <f>IFERROR(VLOOKUP(A20,'Banco de dados '!1:1048576,4,FALSE),"")</f>
        <v/>
      </c>
      <c r="E20" s="41" t="str">
        <f>IFERROR(VLOOKUP(A20,'Banco de dados '!1:1048576,8,FALSE),"")</f>
        <v/>
      </c>
      <c r="F20" s="41" t="str">
        <f>IFERROR(VLOOKUP(A20,'Banco de dados '!1:1048576,7,FALSE),"")</f>
        <v/>
      </c>
      <c r="G20" s="41" t="str">
        <f>IFERROR(VLOOKUP(A20,'Banco de dados '!1:1048576,6,FALSE),"")</f>
        <v/>
      </c>
    </row>
    <row r="21">
      <c r="A21" s="42" t="s">
        <v>1154</v>
      </c>
      <c r="B21" s="43"/>
      <c r="C21" s="43"/>
      <c r="D21" s="43"/>
      <c r="E21" s="43"/>
      <c r="F21" s="43"/>
      <c r="G21" s="44"/>
    </row>
    <row r="22">
      <c r="A22" s="45"/>
      <c r="B22" s="46"/>
      <c r="C22" s="46"/>
      <c r="D22" s="46"/>
      <c r="E22" s="46"/>
      <c r="F22" s="46"/>
      <c r="G22" s="47"/>
    </row>
    <row r="23">
      <c r="A23" s="45"/>
      <c r="B23" s="46"/>
      <c r="C23" s="46"/>
      <c r="D23" s="46"/>
      <c r="E23" s="46"/>
      <c r="F23" s="46"/>
      <c r="G23" s="47"/>
    </row>
    <row r="24">
      <c r="A24" s="48"/>
      <c r="B24" s="49"/>
      <c r="C24" s="49"/>
      <c r="D24" s="49"/>
      <c r="E24" s="49"/>
      <c r="F24" s="49"/>
      <c r="G24" s="50"/>
    </row>
  </sheetData>
  <mergeCells count="19">
    <mergeCell ref="A4:B4"/>
    <mergeCell ref="A5:B5"/>
    <mergeCell ref="A6:B6"/>
    <mergeCell ref="A1:B1"/>
    <mergeCell ref="C1:G1"/>
    <mergeCell ref="C3:G3"/>
    <mergeCell ref="C4:G4"/>
    <mergeCell ref="C5:G5"/>
    <mergeCell ref="C6:G6"/>
    <mergeCell ref="A3:B3"/>
    <mergeCell ref="A21:G24"/>
    <mergeCell ref="C9:G9"/>
    <mergeCell ref="A8:B8"/>
    <mergeCell ref="A9:B9"/>
    <mergeCell ref="A7:B7"/>
    <mergeCell ref="E8:G8"/>
    <mergeCell ref="C8:D8"/>
    <mergeCell ref="E7:G7"/>
    <mergeCell ref="C7:D7"/>
  </mergeCells>
  <dataValidations count="1" disablePrompts="0">
    <dataValidation sqref="A12:A20" type="list" allowBlank="1" errorStyle="stop" imeMode="noControl" operator="between" showDropDown="0" showErrorMessage="1" showInputMessage="1">
      <formula1>'Banco de dados '!$A:$A</formula1>
    </dataValidation>
  </dataValidations>
  <printOptions headings="0" gridLines="0"/>
  <pageMargins left="0.51000000000000012" right="0.23000000000000004" top="0.40314960629921276" bottom="0.39629921259842521" header="0.31" footer="0.31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>
    <oddFooter>&amp;CHOSPITAL DAHER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5" activeCellId="0" sqref="A15"/>
    </sheetView>
  </sheetViews>
  <sheetFormatPr defaultColWidth="8.85546875" defaultRowHeight="15"/>
  <cols>
    <col customWidth="1" min="1" max="1" width="167"/>
  </cols>
  <sheetData>
    <row r="1" ht="60">
      <c r="A1" s="51" t="s">
        <v>1155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Giannasr</dc:creator>
  <cp:revision>1</cp:revision>
  <dcterms:created xsi:type="dcterms:W3CDTF">2015-02-17T12:12:38Z</dcterms:created>
  <dcterms:modified xsi:type="dcterms:W3CDTF">2026-05-02T18:35:30Z</dcterms:modified>
</cp:coreProperties>
</file>